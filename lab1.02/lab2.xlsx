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ly_labs_java\physics\lab1.02\"/>
    </mc:Choice>
  </mc:AlternateContent>
  <xr:revisionPtr revIDLastSave="0" documentId="8_{7B6C6F94-4A5F-40B5-9AE7-858914A2339B}" xr6:coauthVersionLast="47" xr6:coauthVersionMax="47" xr10:uidLastSave="{00000000-0000-0000-0000-000000000000}"/>
  <bookViews>
    <workbookView xWindow="-120" yWindow="-120" windowWidth="29040" windowHeight="16440" xr2:uid="{5DFFE7F6-1A25-4B7C-B47D-4812CB48AF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24" i="1" l="1"/>
  <c r="Z23" i="1"/>
  <c r="Z22" i="1"/>
  <c r="Z21" i="1"/>
  <c r="Z20" i="1"/>
  <c r="Q4" i="1"/>
  <c r="Q5" i="1"/>
  <c r="Q6" i="1"/>
  <c r="Q7" i="1"/>
  <c r="Q3" i="1"/>
  <c r="J1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3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5" i="1"/>
  <c r="R14" i="1"/>
  <c r="P1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" i="1"/>
  <c r="W5" i="1"/>
  <c r="W6" i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4" i="1"/>
  <c r="T20" i="1"/>
  <c r="T21" i="1"/>
  <c r="T22" i="1"/>
  <c r="T23" i="1"/>
  <c r="T19" i="1"/>
  <c r="S20" i="1"/>
  <c r="S21" i="1"/>
  <c r="S22" i="1"/>
  <c r="S23" i="1"/>
  <c r="S19" i="1"/>
  <c r="R20" i="1"/>
  <c r="R21" i="1"/>
  <c r="R22" i="1"/>
  <c r="R23" i="1"/>
  <c r="R19" i="1"/>
  <c r="J21" i="1" l="1"/>
  <c r="J16" i="1"/>
  <c r="J15" i="1"/>
  <c r="J14" i="1"/>
  <c r="J13" i="1"/>
  <c r="T12" i="1"/>
  <c r="U13" i="1"/>
  <c r="U12" i="1"/>
  <c r="U14" i="1"/>
  <c r="U15" i="1"/>
  <c r="U16" i="1"/>
  <c r="T15" i="1"/>
  <c r="T16" i="1"/>
  <c r="T13" i="1"/>
  <c r="T14" i="1"/>
  <c r="P13" i="1"/>
  <c r="K12" i="1"/>
  <c r="R12" i="1" s="1"/>
  <c r="S13" i="1"/>
  <c r="S14" i="1"/>
  <c r="Q15" i="1"/>
  <c r="S15" i="1" s="1"/>
  <c r="Q14" i="1"/>
  <c r="Q13" i="1"/>
  <c r="P16" i="1"/>
  <c r="R16" i="1" s="1"/>
  <c r="P15" i="1"/>
  <c r="R15" i="1" s="1"/>
  <c r="P14" i="1"/>
  <c r="L16" i="1"/>
  <c r="Q16" i="1" s="1"/>
  <c r="S16" i="1" s="1"/>
  <c r="L15" i="1"/>
  <c r="L14" i="1"/>
  <c r="L13" i="1"/>
  <c r="K16" i="1"/>
  <c r="K15" i="1"/>
  <c r="K14" i="1"/>
  <c r="K13" i="1"/>
  <c r="R13" i="1" s="1"/>
  <c r="L12" i="1"/>
  <c r="Q12" i="1" s="1"/>
  <c r="S12" i="1" s="1"/>
  <c r="O19" i="1" l="1"/>
  <c r="P19" i="1"/>
  <c r="M19" i="1" s="1"/>
  <c r="I25" i="1" l="1"/>
  <c r="I22" i="1"/>
  <c r="I24" i="1"/>
  <c r="I21" i="1"/>
  <c r="I23" i="1"/>
</calcChain>
</file>

<file path=xl/sharedStrings.xml><?xml version="1.0" encoding="utf-8"?>
<sst xmlns="http://schemas.openxmlformats.org/spreadsheetml/2006/main" count="41" uniqueCount="36">
  <si>
    <r>
      <t>N</t>
    </r>
    <r>
      <rPr>
        <vertAlign val="subscript"/>
        <sz val="12"/>
        <color theme="1"/>
        <rFont val="Arial"/>
        <family val="2"/>
        <charset val="204"/>
      </rPr>
      <t>пл</t>
    </r>
  </si>
  <si>
    <t>h, мм</t>
  </si>
  <si>
    <t>h’, мм</t>
  </si>
  <si>
    <t>№</t>
  </si>
  <si>
    <r>
      <t>t</t>
    </r>
    <r>
      <rPr>
        <vertAlign val="subscript"/>
        <sz val="12"/>
        <color theme="1"/>
        <rFont val="Arial"/>
        <family val="2"/>
        <charset val="204"/>
      </rPr>
      <t>1</t>
    </r>
    <r>
      <rPr>
        <sz val="12"/>
        <color theme="1"/>
        <rFont val="Arial"/>
        <family val="2"/>
        <charset val="204"/>
      </rPr>
      <t>, с</t>
    </r>
  </si>
  <si>
    <r>
      <t>t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>, с</t>
    </r>
  </si>
  <si>
    <t>Измеренные величины</t>
  </si>
  <si>
    <t>Раcсчитанные величины</t>
  </si>
  <si>
    <r>
      <t>x</t>
    </r>
    <r>
      <rPr>
        <vertAlign val="subscript"/>
        <sz val="12"/>
        <color theme="1"/>
        <rFont val="Arial"/>
        <family val="2"/>
        <charset val="204"/>
      </rPr>
      <t>1</t>
    </r>
    <r>
      <rPr>
        <sz val="12"/>
        <color theme="1"/>
        <rFont val="Arial"/>
        <family val="2"/>
        <charset val="204"/>
      </rPr>
      <t>, м</t>
    </r>
  </si>
  <si>
    <r>
      <t>x</t>
    </r>
    <r>
      <rPr>
        <vertAlign val="subscript"/>
        <sz val="12"/>
        <color theme="1"/>
        <rFont val="Arial"/>
        <family val="2"/>
        <charset val="204"/>
      </rPr>
      <t>2</t>
    </r>
    <r>
      <rPr>
        <sz val="12"/>
        <color theme="1"/>
        <rFont val="Arial"/>
        <family val="2"/>
        <charset val="204"/>
      </rPr>
      <t>, м</t>
    </r>
  </si>
  <si>
    <t>sin a</t>
  </si>
  <si>
    <t>〈t1〉±∆t1</t>
  </si>
  <si>
    <t>〈t2〉±∆t2</t>
  </si>
  <si>
    <t>〈a〉±∆a</t>
  </si>
  <si>
    <t>S t1</t>
  </si>
  <si>
    <t>S t2</t>
  </si>
  <si>
    <t>Δt1</t>
  </si>
  <si>
    <t>Δt2</t>
  </si>
  <si>
    <t>a</t>
  </si>
  <si>
    <t>Δa</t>
  </si>
  <si>
    <t>B</t>
  </si>
  <si>
    <t>числитель</t>
  </si>
  <si>
    <t>знаменатель</t>
  </si>
  <si>
    <t>А</t>
  </si>
  <si>
    <t>d</t>
  </si>
  <si>
    <t>D</t>
  </si>
  <si>
    <t>\sigma_g</t>
  </si>
  <si>
    <t>погрешности Z</t>
  </si>
  <si>
    <t>относит Y</t>
  </si>
  <si>
    <t>относит Z</t>
  </si>
  <si>
    <t>Абсолютн Y</t>
  </si>
  <si>
    <t>Z</t>
  </si>
  <si>
    <t>Y</t>
  </si>
  <si>
    <t>sin(a)</t>
  </si>
  <si>
    <t>Y=Z*a</t>
  </si>
  <si>
    <t>a=A+B*sin(a)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</si>
</sst>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vertAlign val="subscript"/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rgb="FF777777"/>
      <name val="Robo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0" fillId="0" borderId="9" xfId="0" applyNumberFormat="1" applyBorder="1"/>
    <xf numFmtId="176" fontId="6" fillId="0" borderId="9" xfId="0" applyNumberFormat="1" applyFont="1" applyBorder="1"/>
    <xf numFmtId="176" fontId="0" fillId="0" borderId="0" xfId="0" applyNumberFormat="1"/>
    <xf numFmtId="2" fontId="0" fillId="0" borderId="0" xfId="0" applyNumberFormat="1"/>
    <xf numFmtId="0" fontId="3" fillId="0" borderId="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Лист1!$W$3:$W$25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cat>
          <c:val>
            <c:numRef>
              <c:f>Лист1!$X$3:$X$25</c:f>
              <c:numCache>
                <c:formatCode>General</c:formatCode>
                <c:ptCount val="23"/>
                <c:pt idx="0">
                  <c:v>0</c:v>
                </c:pt>
                <c:pt idx="1">
                  <c:v>5.3999999999999999E-2</c:v>
                </c:pt>
                <c:pt idx="2">
                  <c:v>0.108</c:v>
                </c:pt>
                <c:pt idx="3">
                  <c:v>0.16200000000000001</c:v>
                </c:pt>
                <c:pt idx="4">
                  <c:v>0.216</c:v>
                </c:pt>
                <c:pt idx="5">
                  <c:v>0.27</c:v>
                </c:pt>
                <c:pt idx="6">
                  <c:v>0.32400000000000001</c:v>
                </c:pt>
                <c:pt idx="7">
                  <c:v>0.378</c:v>
                </c:pt>
                <c:pt idx="8">
                  <c:v>0.432</c:v>
                </c:pt>
                <c:pt idx="9">
                  <c:v>0.48599999999999999</c:v>
                </c:pt>
                <c:pt idx="10">
                  <c:v>0.54</c:v>
                </c:pt>
                <c:pt idx="11">
                  <c:v>0.59399999999999997</c:v>
                </c:pt>
                <c:pt idx="12">
                  <c:v>0.64800000000000002</c:v>
                </c:pt>
                <c:pt idx="13">
                  <c:v>0.70199999999999996</c:v>
                </c:pt>
                <c:pt idx="14">
                  <c:v>0.75600000000000001</c:v>
                </c:pt>
                <c:pt idx="15">
                  <c:v>0.80999999999999994</c:v>
                </c:pt>
                <c:pt idx="16">
                  <c:v>0.86399999999999999</c:v>
                </c:pt>
                <c:pt idx="17">
                  <c:v>0.91800000000000004</c:v>
                </c:pt>
                <c:pt idx="18">
                  <c:v>0.97199999999999998</c:v>
                </c:pt>
                <c:pt idx="19">
                  <c:v>1.026</c:v>
                </c:pt>
                <c:pt idx="20">
                  <c:v>1.08</c:v>
                </c:pt>
                <c:pt idx="21">
                  <c:v>1.1339999999999999</c:v>
                </c:pt>
                <c:pt idx="22">
                  <c:v>1.1879999999999999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7-46FC-8C39-29CD439D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260511"/>
        <c:axId val="1333261759"/>
      </c:lineChart>
      <c:scatterChart>
        <c:scatterStyle val="lineMarker"/>
        <c:varyColors val="0"/>
        <c:ser>
          <c:idx val="0"/>
          <c:order val="0"/>
          <c:tx>
            <c:strRef>
              <c:f>Лист1!$N$3:$N$7</c:f>
              <c:strCache>
                <c:ptCount val="5"/>
                <c:pt idx="0">
                  <c:v>0,25</c:v>
                </c:pt>
                <c:pt idx="1">
                  <c:v>0,35</c:v>
                </c:pt>
                <c:pt idx="2">
                  <c:v>0,55</c:v>
                </c:pt>
                <c:pt idx="3">
                  <c:v>0,75</c:v>
                </c:pt>
                <c:pt idx="4">
                  <c:v>0,95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Лист1!$Q$3:$Q$7</c:f>
              <c:numCache>
                <c:formatCode>General</c:formatCode>
                <c:ptCount val="5"/>
                <c:pt idx="0">
                  <c:v>3.59</c:v>
                </c:pt>
                <c:pt idx="1">
                  <c:v>3.8</c:v>
                </c:pt>
                <c:pt idx="2">
                  <c:v>5.66</c:v>
                </c:pt>
                <c:pt idx="3">
                  <c:v>12.38</c:v>
                </c:pt>
                <c:pt idx="4">
                  <c:v>22.16</c:v>
                </c:pt>
              </c:numCache>
            </c:numRef>
          </c:xVal>
          <c:yVal>
            <c:numRef>
              <c:f>Лист1!$N$3:$N$7</c:f>
              <c:numCache>
                <c:formatCode>General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7-46FC-8C39-29CD439D3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260511"/>
        <c:axId val="1333261759"/>
      </c:scatterChart>
      <c:catAx>
        <c:axId val="133326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261759"/>
        <c:crosses val="autoZero"/>
        <c:auto val="1"/>
        <c:lblAlgn val="ctr"/>
        <c:lblOffset val="100"/>
        <c:noMultiLvlLbl val="0"/>
      </c:catAx>
      <c:valAx>
        <c:axId val="13332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32605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Теоретический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Лист1!$Z$3:$Z$16</c:f>
              <c:numCache>
                <c:formatCode>General</c:formatCode>
                <c:ptCount val="14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</c:numCache>
            </c:numRef>
          </c:cat>
          <c:val>
            <c:numRef>
              <c:f>Лист1!$AA$3:$AA$16</c:f>
              <c:numCache>
                <c:formatCode>General</c:formatCode>
                <c:ptCount val="14"/>
                <c:pt idx="0">
                  <c:v>-0.05</c:v>
                </c:pt>
                <c:pt idx="1">
                  <c:v>-1.3500000000000005E-2</c:v>
                </c:pt>
                <c:pt idx="2">
                  <c:v>2.2999999999999993E-2</c:v>
                </c:pt>
                <c:pt idx="3">
                  <c:v>5.9499999999999997E-2</c:v>
                </c:pt>
                <c:pt idx="4">
                  <c:v>9.5999999999999988E-2</c:v>
                </c:pt>
                <c:pt idx="5">
                  <c:v>0.13250000000000001</c:v>
                </c:pt>
                <c:pt idx="6">
                  <c:v>0.16899999999999998</c:v>
                </c:pt>
                <c:pt idx="7">
                  <c:v>0.20550000000000002</c:v>
                </c:pt>
                <c:pt idx="8">
                  <c:v>0.24199999999999999</c:v>
                </c:pt>
                <c:pt idx="9">
                  <c:v>0.27849999999999997</c:v>
                </c:pt>
                <c:pt idx="10">
                  <c:v>0.31499999999999995</c:v>
                </c:pt>
                <c:pt idx="11">
                  <c:v>0.35149999999999998</c:v>
                </c:pt>
                <c:pt idx="12">
                  <c:v>0.38799999999999996</c:v>
                </c:pt>
                <c:pt idx="13">
                  <c:v>0.42449999999999993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D-45EF-AD67-EAAD0F97C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473295"/>
        <c:axId val="1386488687"/>
      </c:lineChar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Лист1!$Z$20:$Z$24</c:f>
              <c:numCache>
                <c:formatCode>0.000</c:formatCode>
                <c:ptCount val="5"/>
                <c:pt idx="0" formatCode="General">
                  <c:v>1</c:v>
                </c:pt>
                <c:pt idx="1">
                  <c:v>6.8282051282051279</c:v>
                </c:pt>
                <c:pt idx="2">
                  <c:v>8.9397435897435908</c:v>
                </c:pt>
                <c:pt idx="3">
                  <c:v>11.151282051282051</c:v>
                </c:pt>
                <c:pt idx="4">
                  <c:v>13.212820512820514</c:v>
                </c:pt>
              </c:numCache>
            </c:numRef>
          </c:xVal>
          <c:yVal>
            <c:numRef>
              <c:f>Лист1!$T$12:$T$16</c:f>
              <c:numCache>
                <c:formatCode>0.000</c:formatCode>
                <c:ptCount val="5"/>
                <c:pt idx="0">
                  <c:v>2.7549423666056904E-2</c:v>
                </c:pt>
                <c:pt idx="1">
                  <c:v>7.0075681736275167E-2</c:v>
                </c:pt>
                <c:pt idx="2">
                  <c:v>0.16541353383458643</c:v>
                </c:pt>
                <c:pt idx="3">
                  <c:v>0.30259017187121767</c:v>
                </c:pt>
                <c:pt idx="4">
                  <c:v>0.51069777443285669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D-45EF-AD67-EAAD0F97C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473295"/>
        <c:axId val="1386488687"/>
      </c:scatterChart>
      <c:catAx>
        <c:axId val="138647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6488687"/>
        <c:crosses val="autoZero"/>
        <c:auto val="1"/>
        <c:lblAlgn val="ctr"/>
        <c:lblOffset val="100"/>
        <c:noMultiLvlLbl val="0"/>
      </c:catAx>
      <c:valAx>
        <c:axId val="138648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647329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66675</xdr:rowOff>
    </xdr:from>
    <xdr:to>
      <xdr:col>12</xdr:col>
      <xdr:colOff>590550</xdr:colOff>
      <xdr:row>39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33BA007-4F9C-4661-8BFF-A284F5E35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66675</xdr:colOff>
      <xdr:row>26</xdr:row>
      <xdr:rowOff>0</xdr:rowOff>
    </xdr:from>
    <xdr:to>
      <xdr:col>20</xdr:col>
      <xdr:colOff>371475</xdr:colOff>
      <xdr:row>40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FCF8541-742A-40E6-BC10-EBD1C575A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B68B-4201-47E9-88F2-C73B1698665B}">
  <dimension ref="A1:AA26"/>
  <sheetViews>
    <sheetView tabSelected="1" workbookViewId="0">
      <selection activeCell="V41" sqref="V41"/>
    </sheetView>
  </sheetViews>
  <sheetFormatPr defaultRowHeight="15" x14ac:dyDescent="0.25"/>
  <cols>
    <col min="10" max="10" width="14" bestFit="1" customWidth="1"/>
    <col min="18" max="18" width="13.140625" bestFit="1" customWidth="1"/>
    <col min="19" max="19" width="14.28515625" bestFit="1" customWidth="1"/>
  </cols>
  <sheetData>
    <row r="1" spans="1:27" ht="30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7" t="s">
        <v>3</v>
      </c>
      <c r="J1" s="12" t="s">
        <v>6</v>
      </c>
      <c r="K1" s="11"/>
      <c r="L1" s="11"/>
      <c r="M1" s="13"/>
      <c r="N1" s="12" t="s">
        <v>7</v>
      </c>
      <c r="O1" s="13"/>
    </row>
    <row r="2" spans="1:27" ht="20.25" thickBot="1" x14ac:dyDescent="0.3">
      <c r="A2" s="3"/>
      <c r="B2" s="7">
        <v>203</v>
      </c>
      <c r="C2" s="7">
        <v>203</v>
      </c>
      <c r="D2" s="6">
        <v>1</v>
      </c>
      <c r="E2" s="17">
        <v>1.2</v>
      </c>
      <c r="F2" s="17">
        <v>4.3</v>
      </c>
      <c r="I2" s="9"/>
      <c r="J2" s="6" t="s">
        <v>8</v>
      </c>
      <c r="K2" s="6" t="s">
        <v>9</v>
      </c>
      <c r="L2" s="6" t="s">
        <v>4</v>
      </c>
      <c r="M2" s="6" t="s">
        <v>5</v>
      </c>
      <c r="N2" s="6" t="s">
        <v>32</v>
      </c>
      <c r="O2" s="25" t="s">
        <v>31</v>
      </c>
      <c r="W2" t="s">
        <v>31</v>
      </c>
      <c r="X2" t="s">
        <v>34</v>
      </c>
      <c r="Z2" t="s">
        <v>33</v>
      </c>
      <c r="AA2" t="s">
        <v>35</v>
      </c>
    </row>
    <row r="3" spans="1:27" ht="15.75" thickBot="1" x14ac:dyDescent="0.3">
      <c r="A3" s="3"/>
      <c r="B3" s="8"/>
      <c r="C3" s="8"/>
      <c r="D3" s="6">
        <v>2</v>
      </c>
      <c r="E3" s="17">
        <v>1.3</v>
      </c>
      <c r="F3" s="17">
        <v>4.5</v>
      </c>
      <c r="I3" s="10">
        <v>1</v>
      </c>
      <c r="J3" s="6">
        <v>0.15</v>
      </c>
      <c r="K3" s="6">
        <v>0.4</v>
      </c>
      <c r="L3" s="6">
        <v>1.8</v>
      </c>
      <c r="M3" s="6">
        <v>2.9</v>
      </c>
      <c r="N3" s="6">
        <v>0.25</v>
      </c>
      <c r="O3" s="6">
        <v>2.59</v>
      </c>
      <c r="Q3">
        <f>O3+1</f>
        <v>3.59</v>
      </c>
      <c r="W3">
        <v>0</v>
      </c>
      <c r="X3">
        <f>0.054*W3</f>
        <v>0</v>
      </c>
      <c r="Z3">
        <v>0</v>
      </c>
      <c r="AA3">
        <f>-0.05+7.3*Z3</f>
        <v>-0.05</v>
      </c>
    </row>
    <row r="4" spans="1:27" ht="15.75" thickBot="1" x14ac:dyDescent="0.3">
      <c r="A4" s="3">
        <v>1</v>
      </c>
      <c r="B4" s="8"/>
      <c r="C4" s="8"/>
      <c r="D4" s="6">
        <v>3</v>
      </c>
      <c r="E4" s="17">
        <v>1.4</v>
      </c>
      <c r="F4" s="17">
        <v>4.5</v>
      </c>
      <c r="I4" s="10">
        <v>2</v>
      </c>
      <c r="J4" s="6">
        <v>0.15</v>
      </c>
      <c r="K4" s="6">
        <v>0.5</v>
      </c>
      <c r="L4" s="6">
        <v>1.3</v>
      </c>
      <c r="M4" s="6">
        <v>2.7</v>
      </c>
      <c r="N4" s="6">
        <v>0.35</v>
      </c>
      <c r="O4" s="6">
        <v>2.8</v>
      </c>
      <c r="Q4">
        <f t="shared" ref="Q4:Q7" si="0">O4+1</f>
        <v>3.8</v>
      </c>
      <c r="W4">
        <f>W3+1</f>
        <v>1</v>
      </c>
      <c r="X4">
        <f t="shared" ref="X4:X25" si="1">0.054*W4</f>
        <v>5.3999999999999999E-2</v>
      </c>
      <c r="Z4">
        <v>5.0000000000000001E-3</v>
      </c>
      <c r="AA4">
        <f t="shared" ref="AA4:AA16" si="2">-0.05+7.3*Z4</f>
        <v>-1.3500000000000005E-2</v>
      </c>
    </row>
    <row r="5" spans="1:27" ht="15.75" thickBot="1" x14ac:dyDescent="0.3">
      <c r="A5" s="4"/>
      <c r="B5" s="8"/>
      <c r="C5" s="8"/>
      <c r="D5" s="6">
        <v>4</v>
      </c>
      <c r="E5" s="17">
        <v>1.4</v>
      </c>
      <c r="F5" s="17">
        <v>4.5</v>
      </c>
      <c r="I5" s="10">
        <v>3</v>
      </c>
      <c r="J5" s="6">
        <v>0.15</v>
      </c>
      <c r="K5" s="6">
        <v>0.7</v>
      </c>
      <c r="L5" s="6">
        <v>1.5</v>
      </c>
      <c r="M5" s="6">
        <v>3.4</v>
      </c>
      <c r="N5" s="6">
        <v>0.55000000000000004</v>
      </c>
      <c r="O5" s="6">
        <v>4.66</v>
      </c>
      <c r="Q5">
        <f t="shared" si="0"/>
        <v>5.66</v>
      </c>
      <c r="W5">
        <f t="shared" ref="W5:W25" si="3">W4+1</f>
        <v>2</v>
      </c>
      <c r="X5">
        <f t="shared" si="1"/>
        <v>0.108</v>
      </c>
      <c r="Z5">
        <f>Z4+0.005</f>
        <v>0.01</v>
      </c>
      <c r="AA5">
        <f t="shared" si="2"/>
        <v>2.2999999999999993E-2</v>
      </c>
    </row>
    <row r="6" spans="1:27" ht="15.75" thickBot="1" x14ac:dyDescent="0.3">
      <c r="A6" s="5"/>
      <c r="B6" s="9"/>
      <c r="C6" s="9"/>
      <c r="D6" s="6">
        <v>5</v>
      </c>
      <c r="E6" s="17">
        <v>1.3</v>
      </c>
      <c r="F6" s="17">
        <v>4.5</v>
      </c>
      <c r="I6" s="10">
        <v>4</v>
      </c>
      <c r="J6" s="6">
        <v>0.15</v>
      </c>
      <c r="K6" s="6">
        <v>0.9</v>
      </c>
      <c r="L6" s="6">
        <v>1.5</v>
      </c>
      <c r="M6" s="6">
        <v>5</v>
      </c>
      <c r="N6" s="6">
        <v>0.75</v>
      </c>
      <c r="O6" s="6">
        <v>11.38</v>
      </c>
      <c r="Q6">
        <f t="shared" si="0"/>
        <v>12.38</v>
      </c>
      <c r="W6">
        <f t="shared" si="3"/>
        <v>3</v>
      </c>
      <c r="X6">
        <f t="shared" si="1"/>
        <v>0.16200000000000001</v>
      </c>
      <c r="Z6">
        <f t="shared" ref="Z6:Z25" si="4">Z5+0.005</f>
        <v>1.4999999999999999E-2</v>
      </c>
      <c r="AA6">
        <f t="shared" si="2"/>
        <v>5.9499999999999997E-2</v>
      </c>
    </row>
    <row r="7" spans="1:27" ht="15.75" thickBot="1" x14ac:dyDescent="0.3">
      <c r="A7" s="3"/>
      <c r="B7" s="7">
        <v>227</v>
      </c>
      <c r="C7" s="7">
        <v>205</v>
      </c>
      <c r="D7" s="6">
        <v>1</v>
      </c>
      <c r="E7" s="17">
        <v>1.1000000000000001</v>
      </c>
      <c r="F7" s="17">
        <v>3.3</v>
      </c>
      <c r="I7" s="10">
        <v>5</v>
      </c>
      <c r="J7" s="6">
        <v>0.15</v>
      </c>
      <c r="K7" s="6">
        <v>1.1000000000000001</v>
      </c>
      <c r="L7" s="6">
        <v>2.2999999999999998</v>
      </c>
      <c r="M7" s="6">
        <v>6.9</v>
      </c>
      <c r="N7" s="6">
        <v>0.95</v>
      </c>
      <c r="O7" s="6">
        <v>21.16</v>
      </c>
      <c r="Q7">
        <f t="shared" si="0"/>
        <v>22.16</v>
      </c>
      <c r="W7">
        <f t="shared" si="3"/>
        <v>4</v>
      </c>
      <c r="X7">
        <f t="shared" si="1"/>
        <v>0.216</v>
      </c>
      <c r="Z7">
        <f t="shared" si="4"/>
        <v>0.02</v>
      </c>
      <c r="AA7">
        <f t="shared" si="2"/>
        <v>9.5999999999999988E-2</v>
      </c>
    </row>
    <row r="8" spans="1:27" ht="15.75" thickBot="1" x14ac:dyDescent="0.3">
      <c r="A8" s="3"/>
      <c r="B8" s="8"/>
      <c r="C8" s="8"/>
      <c r="D8" s="6">
        <v>2</v>
      </c>
      <c r="E8" s="17">
        <v>1</v>
      </c>
      <c r="F8" s="17">
        <v>3.3</v>
      </c>
      <c r="W8">
        <f t="shared" si="3"/>
        <v>5</v>
      </c>
      <c r="X8">
        <f t="shared" si="1"/>
        <v>0.27</v>
      </c>
      <c r="Z8">
        <f t="shared" si="4"/>
        <v>2.5000000000000001E-2</v>
      </c>
      <c r="AA8">
        <f t="shared" si="2"/>
        <v>0.13250000000000001</v>
      </c>
    </row>
    <row r="9" spans="1:27" ht="15.75" thickBot="1" x14ac:dyDescent="0.3">
      <c r="A9" s="3">
        <v>2</v>
      </c>
      <c r="B9" s="8"/>
      <c r="C9" s="8"/>
      <c r="D9" s="6">
        <v>3</v>
      </c>
      <c r="E9" s="17">
        <v>1.1000000000000001</v>
      </c>
      <c r="F9" s="17">
        <v>3.4</v>
      </c>
      <c r="W9">
        <f t="shared" si="3"/>
        <v>6</v>
      </c>
      <c r="X9">
        <f t="shared" si="1"/>
        <v>0.32400000000000001</v>
      </c>
      <c r="Z9">
        <f t="shared" si="4"/>
        <v>3.0000000000000002E-2</v>
      </c>
      <c r="AA9">
        <f t="shared" si="2"/>
        <v>0.16899999999999998</v>
      </c>
    </row>
    <row r="10" spans="1:27" ht="15.75" thickBot="1" x14ac:dyDescent="0.3">
      <c r="A10" s="4"/>
      <c r="B10" s="8"/>
      <c r="C10" s="8"/>
      <c r="D10" s="6">
        <v>4</v>
      </c>
      <c r="E10" s="17">
        <v>1.1000000000000001</v>
      </c>
      <c r="F10" s="17">
        <v>3.3</v>
      </c>
      <c r="W10">
        <f t="shared" si="3"/>
        <v>7</v>
      </c>
      <c r="X10">
        <f t="shared" si="1"/>
        <v>0.378</v>
      </c>
      <c r="Z10">
        <f t="shared" si="4"/>
        <v>3.5000000000000003E-2</v>
      </c>
      <c r="AA10">
        <f t="shared" si="2"/>
        <v>0.20550000000000002</v>
      </c>
    </row>
    <row r="11" spans="1:27" ht="16.5" thickBot="1" x14ac:dyDescent="0.3">
      <c r="A11" s="5"/>
      <c r="B11" s="9"/>
      <c r="C11" s="9"/>
      <c r="D11" s="6">
        <v>5</v>
      </c>
      <c r="E11" s="17">
        <v>1.1000000000000001</v>
      </c>
      <c r="F11" s="17">
        <v>3.4</v>
      </c>
      <c r="I11" s="14" t="s">
        <v>3</v>
      </c>
      <c r="J11" s="14" t="s">
        <v>10</v>
      </c>
      <c r="K11" s="14" t="s">
        <v>11</v>
      </c>
      <c r="L11" s="14" t="s">
        <v>12</v>
      </c>
      <c r="M11" s="14" t="s">
        <v>13</v>
      </c>
      <c r="P11" t="s">
        <v>14</v>
      </c>
      <c r="Q11" t="s">
        <v>15</v>
      </c>
      <c r="R11" t="s">
        <v>16</v>
      </c>
      <c r="S11" s="19" t="s">
        <v>17</v>
      </c>
      <c r="T11" t="s">
        <v>18</v>
      </c>
      <c r="U11" t="s">
        <v>19</v>
      </c>
      <c r="W11">
        <f t="shared" si="3"/>
        <v>8</v>
      </c>
      <c r="X11">
        <f t="shared" si="1"/>
        <v>0.432</v>
      </c>
      <c r="Z11">
        <f t="shared" si="4"/>
        <v>0.04</v>
      </c>
      <c r="AA11">
        <f t="shared" si="2"/>
        <v>0.24199999999999999</v>
      </c>
    </row>
    <row r="12" spans="1:27" ht="19.5" thickBot="1" x14ac:dyDescent="0.3">
      <c r="A12" s="3"/>
      <c r="B12" s="7">
        <v>236</v>
      </c>
      <c r="C12" s="7">
        <v>205</v>
      </c>
      <c r="D12" s="6">
        <v>1</v>
      </c>
      <c r="E12" s="17">
        <v>0.8</v>
      </c>
      <c r="F12" s="17">
        <v>2.7</v>
      </c>
      <c r="I12" s="15">
        <v>1</v>
      </c>
      <c r="J12" s="16">
        <f>((203-203)-(203-203))/(1000-220)</f>
        <v>0</v>
      </c>
      <c r="K12" s="18">
        <f>AVERAGE(E2:E6)</f>
        <v>1.3199999999999998</v>
      </c>
      <c r="L12" s="18">
        <f>AVERAGE(F2:F6)</f>
        <v>4.46</v>
      </c>
      <c r="M12" s="16"/>
      <c r="O12" s="15">
        <v>1</v>
      </c>
      <c r="P12" s="18">
        <f>(((E2-K12)^2+(E3-K12)^2+(E4-K12)^2+(E5-K12)^2+(E6-K12)^2)/(4*5))^0.5</f>
        <v>3.7416573867739396E-2</v>
      </c>
      <c r="Q12" s="18">
        <f>(((F2-L12)^2+(F3-L12)^2+(F4-L12)^2+(F5-L12)^2+(F6-L12)^2)/(4*5))^0.5</f>
        <v>4.0000000000000036E-2</v>
      </c>
      <c r="R12" s="20">
        <f>((P12*2.78)^2+(0.1*2/3)^2)^0.5</f>
        <v>0.123548389080734</v>
      </c>
      <c r="S12" s="20">
        <f>((Q12*2.78)^2+(0.1*2/3)^2)^0.5</f>
        <v>0.12965293843351358</v>
      </c>
      <c r="T12" s="22">
        <f>(2*(K3-J3))/(L12^2-K12^2)</f>
        <v>2.7549423666056904E-2</v>
      </c>
      <c r="U12" s="21">
        <f>T12*((2*0.005^2)/(K3-J3)^2 + 4*((K12*R12)^2+(L12*S12)^2)/(L12^2-K12^2)^2)^0.5</f>
        <v>1.983457705957193E-3</v>
      </c>
      <c r="W12">
        <f t="shared" si="3"/>
        <v>9</v>
      </c>
      <c r="X12">
        <f t="shared" si="1"/>
        <v>0.48599999999999999</v>
      </c>
      <c r="Z12">
        <f t="shared" si="4"/>
        <v>4.4999999999999998E-2</v>
      </c>
      <c r="AA12">
        <f t="shared" si="2"/>
        <v>0.27849999999999997</v>
      </c>
    </row>
    <row r="13" spans="1:27" ht="19.5" thickBot="1" x14ac:dyDescent="0.3">
      <c r="A13" s="3"/>
      <c r="B13" s="8"/>
      <c r="C13" s="8"/>
      <c r="D13" s="6">
        <v>2</v>
      </c>
      <c r="E13" s="17">
        <v>0.8</v>
      </c>
      <c r="F13" s="17">
        <v>2.7</v>
      </c>
      <c r="I13" s="15">
        <v>2</v>
      </c>
      <c r="J13" s="20">
        <f>-((203-227)-(203-205))/(1000-220)</f>
        <v>2.8205128205128206E-2</v>
      </c>
      <c r="K13" s="18">
        <f>AVERAGE(E7:E11)</f>
        <v>1.08</v>
      </c>
      <c r="L13" s="18">
        <f>AVERAGE(F7:F11)</f>
        <v>3.34</v>
      </c>
      <c r="M13" s="16"/>
      <c r="O13" s="15">
        <v>2</v>
      </c>
      <c r="P13" s="16">
        <f>(((E7-K13)^2+(E8-K13)^2+(E9-K13)^2+(E10-K13)^2+(E11-K13)^2)/(4*5))^0.5</f>
        <v>2.0000000000000018E-2</v>
      </c>
      <c r="Q13" s="20">
        <f>(((F7-L13)^2+(F8-L13)^2+(F9-L13)^2+(F10-L13)^2+(F11-L13)^2)/(4*5))^0.5</f>
        <v>2.4494897427831803E-2</v>
      </c>
      <c r="R13" s="20">
        <f t="shared" ref="R13:R16" si="5">((P13*2.78)^2+(0.1*2/3)^2)^0.5</f>
        <v>8.6809011308990561E-2</v>
      </c>
      <c r="S13" s="20">
        <f t="shared" ref="S13:S15" si="6">((Q13*2.78)^2+(0.1*2/3)^2)^0.5</f>
        <v>9.5296822845488682E-2</v>
      </c>
      <c r="T13" s="22">
        <f t="shared" ref="T13:T16" si="7">(2*(K4-J4))/(L13^2-K13^2)</f>
        <v>7.0075681736275167E-2</v>
      </c>
      <c r="U13" s="21">
        <f>T13*((2*0.005^2)/(K4-J4)^2 + 4*((K13*R13)^2+(L13*S13)^2)/(L13^2-K13^2)^2)^0.5</f>
        <v>4.8659264050048062E-3</v>
      </c>
      <c r="W13">
        <f t="shared" si="3"/>
        <v>10</v>
      </c>
      <c r="X13">
        <f t="shared" si="1"/>
        <v>0.54</v>
      </c>
      <c r="Z13">
        <f t="shared" si="4"/>
        <v>4.9999999999999996E-2</v>
      </c>
      <c r="AA13">
        <f t="shared" si="2"/>
        <v>0.31499999999999995</v>
      </c>
    </row>
    <row r="14" spans="1:27" ht="19.5" thickBot="1" x14ac:dyDescent="0.3">
      <c r="A14" s="3">
        <v>3</v>
      </c>
      <c r="B14" s="8"/>
      <c r="C14" s="8"/>
      <c r="D14" s="6">
        <v>3</v>
      </c>
      <c r="E14" s="17">
        <v>0.8</v>
      </c>
      <c r="F14" s="17">
        <v>2.7</v>
      </c>
      <c r="I14" s="15">
        <v>3</v>
      </c>
      <c r="J14" s="20">
        <f>-((203-236)-(203-205))/(1000-220)</f>
        <v>3.9743589743589741E-2</v>
      </c>
      <c r="K14" s="18">
        <f>AVERAGE(E12:E16)</f>
        <v>0.8</v>
      </c>
      <c r="L14" s="18">
        <f>AVERAGE(F12:F16)</f>
        <v>2.7</v>
      </c>
      <c r="M14" s="16"/>
      <c r="O14" s="15">
        <v>3</v>
      </c>
      <c r="P14" s="16">
        <f>(((E12-K14)^2+(E13-K14)^2+(E14-K14)^2+(E15-K14)^2+(E16-K14)^2)/(4*5))^0.5</f>
        <v>0</v>
      </c>
      <c r="Q14" s="20">
        <f>(((F12-L14)^2+(F13-L14)^2+(F14-L14)^2+(F15-L14)^2+(F16-L14)^2)/(4*5))^0.5</f>
        <v>0</v>
      </c>
      <c r="R14" s="20">
        <f>((P14*2.78)^2+(0.1*2/3)^2)^0.5</f>
        <v>6.6666666666666666E-2</v>
      </c>
      <c r="S14" s="20">
        <f t="shared" si="6"/>
        <v>6.6666666666666666E-2</v>
      </c>
      <c r="T14" s="22">
        <f t="shared" si="7"/>
        <v>0.16541353383458643</v>
      </c>
      <c r="U14" s="21">
        <f t="shared" ref="U13:U16" si="8">T14*((2*0.005^2)/(K5-J5)^2 + 4*((K14*R14)^2+(L14*S14)^2)/(L14^2-K14^2)^2)^0.5</f>
        <v>9.5785847659612001E-3</v>
      </c>
      <c r="W14">
        <f t="shared" si="3"/>
        <v>11</v>
      </c>
      <c r="X14">
        <f t="shared" si="1"/>
        <v>0.59399999999999997</v>
      </c>
      <c r="Z14">
        <f t="shared" si="4"/>
        <v>5.4999999999999993E-2</v>
      </c>
      <c r="AA14">
        <f t="shared" si="2"/>
        <v>0.35149999999999998</v>
      </c>
    </row>
    <row r="15" spans="1:27" ht="19.5" thickBot="1" x14ac:dyDescent="0.3">
      <c r="A15" s="4"/>
      <c r="B15" s="8"/>
      <c r="C15" s="8"/>
      <c r="D15" s="6">
        <v>4</v>
      </c>
      <c r="E15" s="17">
        <v>0.8</v>
      </c>
      <c r="F15" s="17">
        <v>2.7</v>
      </c>
      <c r="I15" s="15">
        <v>4</v>
      </c>
      <c r="J15" s="20">
        <f>-((203-246)-(203-206))/(1000-220)</f>
        <v>5.128205128205128E-2</v>
      </c>
      <c r="K15" s="18">
        <f>AVERAGE(E17:E21)</f>
        <v>0.72</v>
      </c>
      <c r="L15" s="18">
        <f>AVERAGE(F17:F21)</f>
        <v>2.34</v>
      </c>
      <c r="M15" s="16"/>
      <c r="O15" s="15">
        <v>4</v>
      </c>
      <c r="P15" s="16">
        <f>(((E17-K15)^2+(E18-K15)^2+(E19-K15)^2+(E20-K15)^2+(E21-K15)^2)/(4*5))^0.5</f>
        <v>2.0000000000000018E-2</v>
      </c>
      <c r="Q15" s="20">
        <f>(((F17-L15)^2+(F18-L15)^2+(F19-L15)^2+(F20-L15)^2+(F21-L15)^2)/(4*5))^0.5</f>
        <v>4.0000000000000036E-2</v>
      </c>
      <c r="R15" s="20">
        <f t="shared" si="5"/>
        <v>8.6809011308990561E-2</v>
      </c>
      <c r="S15" s="20">
        <f t="shared" si="6"/>
        <v>0.12965293843351358</v>
      </c>
      <c r="T15" s="22">
        <f>(2*(K6-J6))/(L15^2-K15^2)</f>
        <v>0.30259017187121767</v>
      </c>
      <c r="U15" s="21">
        <f t="shared" si="8"/>
        <v>3.7923196795145817E-2</v>
      </c>
      <c r="W15">
        <f t="shared" si="3"/>
        <v>12</v>
      </c>
      <c r="X15">
        <f t="shared" si="1"/>
        <v>0.64800000000000002</v>
      </c>
      <c r="Z15">
        <f t="shared" si="4"/>
        <v>5.9999999999999991E-2</v>
      </c>
      <c r="AA15">
        <f t="shared" si="2"/>
        <v>0.38799999999999996</v>
      </c>
    </row>
    <row r="16" spans="1:27" ht="19.5" thickBot="1" x14ac:dyDescent="0.3">
      <c r="A16" s="5"/>
      <c r="B16" s="9"/>
      <c r="C16" s="9"/>
      <c r="D16" s="6">
        <v>5</v>
      </c>
      <c r="E16" s="17">
        <v>0.8</v>
      </c>
      <c r="F16" s="17">
        <v>2.7</v>
      </c>
      <c r="I16" s="15">
        <v>5</v>
      </c>
      <c r="J16" s="20">
        <f>-((203-255)-(203-206))/(1000-220)</f>
        <v>6.2820512820512819E-2</v>
      </c>
      <c r="K16" s="18">
        <f>AVERAGE(E22:E26)</f>
        <v>0.6</v>
      </c>
      <c r="L16" s="18">
        <f>AVERAGE(F22:F26)</f>
        <v>2.02</v>
      </c>
      <c r="M16" s="16"/>
      <c r="O16" s="15">
        <v>5</v>
      </c>
      <c r="P16" s="16">
        <f>(((E22-K16)^2+(E23-K16)^2+(E24-K16)^2+(E25-K16)^2+(E26-K16)^2)/(4*5))^0.5</f>
        <v>0</v>
      </c>
      <c r="Q16" s="20">
        <f>(((F22-L16)^2+(F23-L16)^2+(F24-L16)^2+(F25-L16)^2+(F26-L16)^2)/(4*5))^0.5</f>
        <v>2.0000000000000018E-2</v>
      </c>
      <c r="R16" s="20">
        <f t="shared" si="5"/>
        <v>6.6666666666666666E-2</v>
      </c>
      <c r="S16" s="20">
        <f>((Q16*2.78)^2+(0.1*2/3)^2)^0.5</f>
        <v>8.6809011308990561E-2</v>
      </c>
      <c r="T16" s="22">
        <f>(2*(K7-J7))/(L16^2-K16^2)</f>
        <v>0.51069777443285669</v>
      </c>
      <c r="U16" s="21">
        <f t="shared" si="8"/>
        <v>4.9524314533702096E-2</v>
      </c>
      <c r="W16">
        <f t="shared" si="3"/>
        <v>13</v>
      </c>
      <c r="X16">
        <f t="shared" si="1"/>
        <v>0.70199999999999996</v>
      </c>
      <c r="Z16">
        <f t="shared" si="4"/>
        <v>6.4999999999999988E-2</v>
      </c>
      <c r="AA16">
        <f t="shared" si="2"/>
        <v>0.42449999999999993</v>
      </c>
    </row>
    <row r="17" spans="1:27" ht="15.75" thickBot="1" x14ac:dyDescent="0.3">
      <c r="A17" s="3"/>
      <c r="B17" s="7">
        <v>246</v>
      </c>
      <c r="C17" s="7">
        <v>206</v>
      </c>
      <c r="D17" s="6">
        <v>1</v>
      </c>
      <c r="E17" s="17">
        <v>0.7</v>
      </c>
      <c r="F17" s="17">
        <v>2.2999999999999998</v>
      </c>
      <c r="W17">
        <f t="shared" si="3"/>
        <v>14</v>
      </c>
      <c r="X17">
        <f t="shared" si="1"/>
        <v>0.75600000000000001</v>
      </c>
    </row>
    <row r="18" spans="1:27" ht="15.75" thickBot="1" x14ac:dyDescent="0.3">
      <c r="A18" s="3"/>
      <c r="B18" s="8"/>
      <c r="C18" s="8"/>
      <c r="D18" s="6">
        <v>2</v>
      </c>
      <c r="E18" s="17">
        <v>0.7</v>
      </c>
      <c r="F18" s="17">
        <v>2.2999999999999998</v>
      </c>
      <c r="L18" t="s">
        <v>23</v>
      </c>
      <c r="M18" t="s">
        <v>20</v>
      </c>
      <c r="O18" t="s">
        <v>22</v>
      </c>
      <c r="P18" t="s">
        <v>21</v>
      </c>
      <c r="R18" t="s">
        <v>27</v>
      </c>
      <c r="S18" t="s">
        <v>28</v>
      </c>
      <c r="T18" t="s">
        <v>29</v>
      </c>
      <c r="W18">
        <f t="shared" si="3"/>
        <v>15</v>
      </c>
      <c r="X18">
        <f t="shared" si="1"/>
        <v>0.80999999999999994</v>
      </c>
    </row>
    <row r="19" spans="1:27" ht="15.75" thickBot="1" x14ac:dyDescent="0.3">
      <c r="A19" s="3">
        <v>4</v>
      </c>
      <c r="B19" s="8"/>
      <c r="C19" s="8"/>
      <c r="D19" s="6">
        <v>3</v>
      </c>
      <c r="E19" s="17">
        <v>0.7</v>
      </c>
      <c r="F19" s="17">
        <v>2.2999999999999998</v>
      </c>
      <c r="L19">
        <v>-0.05</v>
      </c>
      <c r="M19">
        <f>P19/O19</f>
        <v>7.3019344218910893</v>
      </c>
      <c r="O19" s="23">
        <f>(J12^2)+(J13^2)+(J14^2)+(J15^2)+(J16^2)-(1/5)*(J12+J13+J14+J15+J16)^2</f>
        <v>2.3228139381985527E-3</v>
      </c>
      <c r="P19" s="23">
        <f>((T12*J12)+(T13*J13)+(T14*J14)+(T15*J15)+(T16*J16))-(1/5)*(T12+T13+T14+T15+T16)*(J12+J13+J14+J15+J16)</f>
        <v>1.6961035050980414E-2</v>
      </c>
      <c r="R19" s="24">
        <f>((L3*0.1)^2+(M3*0.1)^2)^0.5</f>
        <v>0.34132096331752021</v>
      </c>
      <c r="S19" s="24">
        <f>($P$22/N3)*100</f>
        <v>2.8000000000000003</v>
      </c>
      <c r="T19" s="24">
        <f>(R19/O3)*100</f>
        <v>13.178415572105029</v>
      </c>
      <c r="W19">
        <f t="shared" si="3"/>
        <v>16</v>
      </c>
      <c r="X19">
        <f t="shared" si="1"/>
        <v>0.86399999999999999</v>
      </c>
    </row>
    <row r="20" spans="1:27" ht="15.75" thickBot="1" x14ac:dyDescent="0.3">
      <c r="A20" s="4"/>
      <c r="B20" s="8"/>
      <c r="C20" s="8"/>
      <c r="D20" s="6">
        <v>4</v>
      </c>
      <c r="E20" s="17">
        <v>0.8</v>
      </c>
      <c r="F20" s="17">
        <v>2.5</v>
      </c>
      <c r="I20" t="s">
        <v>24</v>
      </c>
      <c r="J20" t="s">
        <v>25</v>
      </c>
      <c r="K20" t="s">
        <v>26</v>
      </c>
      <c r="R20" s="24">
        <f t="shared" ref="R20:R23" si="9">((L4*0.1)^2+(M4*0.1)^2)^0.5</f>
        <v>0.29966648127543394</v>
      </c>
      <c r="S20" s="24">
        <f t="shared" ref="S20:S23" si="10">($P$22/N4)*100</f>
        <v>2</v>
      </c>
      <c r="T20" s="24">
        <f t="shared" ref="T20:T23" si="11">(R20/O4)*100</f>
        <v>10.702374331265499</v>
      </c>
      <c r="W20">
        <f t="shared" si="3"/>
        <v>17</v>
      </c>
      <c r="X20">
        <f t="shared" si="1"/>
        <v>0.91800000000000004</v>
      </c>
      <c r="Z20">
        <f>J12+1</f>
        <v>1</v>
      </c>
      <c r="AA20">
        <v>2.8000000000000001E-2</v>
      </c>
    </row>
    <row r="21" spans="1:27" ht="15.75" thickBot="1" x14ac:dyDescent="0.3">
      <c r="A21" s="5"/>
      <c r="B21" s="9"/>
      <c r="C21" s="9"/>
      <c r="D21" s="6">
        <v>5</v>
      </c>
      <c r="E21" s="17">
        <v>0.7</v>
      </c>
      <c r="F21" s="17">
        <v>2.2999999999999998</v>
      </c>
      <c r="H21">
        <v>1</v>
      </c>
      <c r="I21" s="23">
        <f>T12-($L$19+$M$19*J12)</f>
        <v>7.754942366605691E-2</v>
      </c>
      <c r="J21" s="23">
        <f>(J12^2+J13^2+J14^2+J15^2+J16^2)-(1/5)*(J12+J13+J14+J15+J16)^2</f>
        <v>2.3228139381985527E-3</v>
      </c>
      <c r="K21" s="24">
        <v>1.83</v>
      </c>
      <c r="P21" t="s">
        <v>30</v>
      </c>
      <c r="R21" s="24">
        <f t="shared" si="9"/>
        <v>0.37161808352124098</v>
      </c>
      <c r="S21" s="24">
        <f t="shared" si="10"/>
        <v>1.2727272727272725</v>
      </c>
      <c r="T21" s="24">
        <f t="shared" si="11"/>
        <v>7.9746369854343548</v>
      </c>
      <c r="W21">
        <f t="shared" si="3"/>
        <v>18</v>
      </c>
      <c r="X21">
        <f t="shared" si="1"/>
        <v>0.97199999999999998</v>
      </c>
      <c r="Z21" s="23">
        <f>J13+6.8</f>
        <v>6.8282051282051279</v>
      </c>
      <c r="AA21">
        <v>7.0000000000000007E-2</v>
      </c>
    </row>
    <row r="22" spans="1:27" ht="15.75" thickBot="1" x14ac:dyDescent="0.3">
      <c r="A22" s="3"/>
      <c r="B22" s="7">
        <v>255</v>
      </c>
      <c r="C22" s="7">
        <v>206</v>
      </c>
      <c r="D22" s="6">
        <v>1</v>
      </c>
      <c r="E22" s="17">
        <v>0.6</v>
      </c>
      <c r="F22" s="17">
        <v>2</v>
      </c>
      <c r="H22">
        <v>2</v>
      </c>
      <c r="I22" s="23">
        <f>T13-($L$19+$M$19*J13)</f>
        <v>-8.5876314778601734E-2</v>
      </c>
      <c r="P22">
        <v>7.0000000000000001E-3</v>
      </c>
      <c r="R22" s="24">
        <f t="shared" si="9"/>
        <v>0.52201532544552753</v>
      </c>
      <c r="S22" s="24">
        <f t="shared" si="10"/>
        <v>0.93333333333333346</v>
      </c>
      <c r="T22" s="24">
        <f t="shared" si="11"/>
        <v>4.5871293975881153</v>
      </c>
      <c r="W22">
        <f t="shared" si="3"/>
        <v>19</v>
      </c>
      <c r="X22">
        <f t="shared" si="1"/>
        <v>1.026</v>
      </c>
      <c r="Z22" s="23">
        <f>J14+8.9</f>
        <v>8.9397435897435908</v>
      </c>
      <c r="AA22">
        <v>0.16500000000000001</v>
      </c>
    </row>
    <row r="23" spans="1:27" ht="15.75" thickBot="1" x14ac:dyDescent="0.3">
      <c r="A23" s="3"/>
      <c r="B23" s="8"/>
      <c r="C23" s="8"/>
      <c r="D23" s="6">
        <v>2</v>
      </c>
      <c r="E23" s="17">
        <v>0.6</v>
      </c>
      <c r="F23" s="17">
        <v>2</v>
      </c>
      <c r="H23">
        <v>3</v>
      </c>
      <c r="I23" s="23">
        <f t="shared" ref="I22:I25" si="12">T14-($L$19+$M$19*J14)</f>
        <v>-7.4791552163649161E-2</v>
      </c>
      <c r="R23" s="24">
        <f t="shared" si="9"/>
        <v>0.72732386183872721</v>
      </c>
      <c r="S23" s="24">
        <f t="shared" si="10"/>
        <v>0.73684210526315796</v>
      </c>
      <c r="T23" s="24">
        <f t="shared" si="11"/>
        <v>3.4372583262699776</v>
      </c>
      <c r="W23">
        <f t="shared" si="3"/>
        <v>20</v>
      </c>
      <c r="X23">
        <f t="shared" si="1"/>
        <v>1.08</v>
      </c>
      <c r="Z23" s="23">
        <f>J15+11.1</f>
        <v>11.151282051282051</v>
      </c>
      <c r="AA23">
        <v>0.30299999999999999</v>
      </c>
    </row>
    <row r="24" spans="1:27" ht="15.75" thickBot="1" x14ac:dyDescent="0.3">
      <c r="A24" s="3">
        <v>5</v>
      </c>
      <c r="B24" s="8"/>
      <c r="C24" s="8"/>
      <c r="D24" s="6">
        <v>3</v>
      </c>
      <c r="E24" s="17">
        <v>0.6</v>
      </c>
      <c r="F24" s="17">
        <v>2</v>
      </c>
      <c r="H24">
        <v>4</v>
      </c>
      <c r="I24" s="23">
        <f t="shared" si="12"/>
        <v>-2.1868003610376663E-2</v>
      </c>
      <c r="W24">
        <f t="shared" si="3"/>
        <v>21</v>
      </c>
      <c r="X24">
        <f t="shared" si="1"/>
        <v>1.1339999999999999</v>
      </c>
      <c r="Z24" s="23">
        <f>J16+13.15</f>
        <v>13.212820512820514</v>
      </c>
      <c r="AA24">
        <v>0.51100000000000001</v>
      </c>
    </row>
    <row r="25" spans="1:27" ht="15.75" thickBot="1" x14ac:dyDescent="0.3">
      <c r="A25" s="4"/>
      <c r="B25" s="8"/>
      <c r="C25" s="8"/>
      <c r="D25" s="6">
        <v>4</v>
      </c>
      <c r="E25" s="17">
        <v>0.6</v>
      </c>
      <c r="F25" s="17">
        <v>2.1</v>
      </c>
      <c r="H25">
        <v>5</v>
      </c>
      <c r="I25" s="23">
        <f t="shared" si="12"/>
        <v>0.10198650946790366</v>
      </c>
      <c r="W25">
        <f t="shared" si="3"/>
        <v>22</v>
      </c>
      <c r="X25">
        <f t="shared" si="1"/>
        <v>1.1879999999999999</v>
      </c>
    </row>
    <row r="26" spans="1:27" ht="15.75" thickBot="1" x14ac:dyDescent="0.3">
      <c r="A26" s="5"/>
      <c r="B26" s="9"/>
      <c r="C26" s="9"/>
      <c r="D26" s="6">
        <v>5</v>
      </c>
      <c r="E26" s="17">
        <v>0.6</v>
      </c>
      <c r="F26" s="17">
        <v>2</v>
      </c>
    </row>
  </sheetData>
  <mergeCells count="13">
    <mergeCell ref="N1:O1"/>
    <mergeCell ref="B17:B21"/>
    <mergeCell ref="C17:C21"/>
    <mergeCell ref="B22:B26"/>
    <mergeCell ref="C22:C26"/>
    <mergeCell ref="I1:I2"/>
    <mergeCell ref="J1:M1"/>
    <mergeCell ref="B2:B6"/>
    <mergeCell ref="C2:C6"/>
    <mergeCell ref="B7:B11"/>
    <mergeCell ref="C7:C11"/>
    <mergeCell ref="B12:B16"/>
    <mergeCell ref="C12:C16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ExcaliBBur Velichaishiy</dc:creator>
  <cp:lastModifiedBy>ExcaliBBur Velichaishiy</cp:lastModifiedBy>
  <dcterms:created xsi:type="dcterms:W3CDTF">2022-03-23T10:26:12Z</dcterms:created>
  <dcterms:modified xsi:type="dcterms:W3CDTF">2022-03-23T18:31:44Z</dcterms:modified>
</cp:coreProperties>
</file>