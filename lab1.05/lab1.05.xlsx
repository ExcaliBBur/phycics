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only_labs_java\physics\lab1.05\"/>
    </mc:Choice>
  </mc:AlternateContent>
  <xr:revisionPtr revIDLastSave="0" documentId="13_ncr:1_{99394235-6CD9-4BE8-807F-C096DC46EE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0" i="1" l="1"/>
  <c r="J22" i="1"/>
  <c r="J18" i="1"/>
  <c r="J21" i="1"/>
  <c r="J19" i="1"/>
  <c r="K18" i="1"/>
  <c r="X18" i="1"/>
  <c r="W18" i="1"/>
  <c r="V19" i="1"/>
  <c r="W19" i="1" s="1"/>
  <c r="W21" i="1" s="1"/>
  <c r="U24" i="1"/>
  <c r="U23" i="1"/>
  <c r="U22" i="1"/>
  <c r="U21" i="1"/>
  <c r="U20" i="1"/>
  <c r="U19" i="1"/>
  <c r="T1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29" i="1"/>
  <c r="N26" i="1"/>
  <c r="O26" i="1"/>
  <c r="P26" i="1"/>
  <c r="Q26" i="1"/>
  <c r="R26" i="1"/>
  <c r="M26" i="1"/>
  <c r="J44" i="1"/>
  <c r="J41" i="1"/>
  <c r="J31" i="1"/>
  <c r="J32" i="1" s="1"/>
  <c r="J33" i="1" s="1"/>
  <c r="J34" i="1" s="1"/>
  <c r="J35" i="1" s="1"/>
  <c r="J36" i="1" s="1"/>
  <c r="J37" i="1" s="1"/>
  <c r="J38" i="1" s="1"/>
  <c r="J39" i="1" s="1"/>
  <c r="J40" i="1" s="1"/>
  <c r="J42" i="1" s="1"/>
  <c r="J43" i="1" s="1"/>
  <c r="J30" i="1"/>
  <c r="G2" i="1" l="1"/>
  <c r="F2" i="1"/>
  <c r="E2" i="1"/>
  <c r="H2" i="1" s="1"/>
  <c r="G15" i="1"/>
  <c r="M21" i="1"/>
  <c r="R23" i="1" s="1"/>
  <c r="R24" i="1" s="1"/>
  <c r="N22" i="1"/>
  <c r="O22" i="1"/>
  <c r="P22" i="1"/>
  <c r="Q22" i="1"/>
  <c r="R22" i="1"/>
  <c r="M22" i="1"/>
  <c r="M20" i="1"/>
  <c r="M23" i="1" s="1"/>
  <c r="M24" i="1" s="1"/>
  <c r="N9" i="1"/>
  <c r="N10" i="1"/>
  <c r="N11" i="1"/>
  <c r="O11" i="1" s="1"/>
  <c r="U8" i="1" s="1"/>
  <c r="P25" i="1" s="1"/>
  <c r="N12" i="1"/>
  <c r="O12" i="1" s="1"/>
  <c r="V8" i="1" s="1"/>
  <c r="Q25" i="1" s="1"/>
  <c r="N13" i="1"/>
  <c r="O13" i="1" s="1"/>
  <c r="W8" i="1" s="1"/>
  <c r="R25" i="1" s="1"/>
  <c r="N8" i="1"/>
  <c r="E12" i="1"/>
  <c r="F12" i="1"/>
  <c r="G12" i="1"/>
  <c r="H12" i="1"/>
  <c r="D12" i="1"/>
  <c r="Q8" i="1" s="1"/>
  <c r="N16" i="1" s="1" a="1"/>
  <c r="N16" i="1" s="1"/>
  <c r="R11" i="1" l="1"/>
  <c r="L37" i="1" s="1"/>
  <c r="P23" i="1"/>
  <c r="P24" i="1" s="1"/>
  <c r="R12" i="1"/>
  <c r="L41" i="1" s="1"/>
  <c r="O10" i="1"/>
  <c r="O23" i="1"/>
  <c r="O24" i="1" s="1"/>
  <c r="O9" i="1"/>
  <c r="N23" i="1"/>
  <c r="N24" i="1" s="1"/>
  <c r="R13" i="1"/>
  <c r="L44" i="1" s="1"/>
  <c r="Q23" i="1"/>
  <c r="Q24" i="1" s="1"/>
  <c r="O8" i="1"/>
  <c r="R8" i="1" s="1"/>
  <c r="R10" i="1" l="1"/>
  <c r="L34" i="1" s="1"/>
  <c r="T8" i="1"/>
  <c r="O25" i="1" s="1"/>
  <c r="L30" i="1"/>
  <c r="M25" i="1"/>
  <c r="S8" i="1"/>
  <c r="N25" i="1" s="1"/>
  <c r="R9" i="1"/>
  <c r="L32" i="1" s="1"/>
  <c r="T16" i="1" l="1" a="1"/>
  <c r="T16" i="1" s="1"/>
  <c r="U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<sst xmlns="http://schemas.openxmlformats.org/spreadsheetml/2006/main" count="47" uniqueCount="45">
  <si>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t1</t>
  </si>
  <si>
    <t>t2</t>
  </si>
  <si>
    <t>t3</t>
  </si>
  <si>
    <t>t1, c</t>
  </si>
  <si>
    <t>t2, c</t>
  </si>
  <si>
    <t>t3, c</t>
  </si>
  <si>
    <t>t_cр</t>
  </si>
  <si>
    <t>Амплитуда отклонения  Время</t>
  </si>
  <si>
    <t>Положение боковых грузов</t>
  </si>
  <si>
    <t>t1,c</t>
  </si>
  <si>
    <t>t2,c</t>
  </si>
  <si>
    <t>t3,c</t>
  </si>
  <si>
    <t>t_ср, c</t>
  </si>
  <si>
    <t>T,c</t>
  </si>
  <si>
    <t>1 риска</t>
  </si>
  <si>
    <t>2 риски</t>
  </si>
  <si>
    <t>3 риски</t>
  </si>
  <si>
    <t>4 риски</t>
  </si>
  <si>
    <t>5 рисок</t>
  </si>
  <si>
    <t>6 рисок</t>
  </si>
  <si>
    <t>t_cp</t>
  </si>
  <si>
    <t>4 \phi / T</t>
  </si>
  <si>
    <t>Риски</t>
  </si>
  <si>
    <t>R_верх</t>
  </si>
  <si>
    <t>R_низ</t>
  </si>
  <si>
    <t>R_бок</t>
  </si>
  <si>
    <t>I_гр</t>
  </si>
  <si>
    <t>I</t>
  </si>
  <si>
    <t>I_пр эксп</t>
  </si>
  <si>
    <t>I_пр теор</t>
  </si>
  <si>
    <t>T^2</t>
  </si>
  <si>
    <t>4\pi^2/mgl</t>
  </si>
  <si>
    <t>T1</t>
  </si>
  <si>
    <t>T2</t>
  </si>
  <si>
    <t>T3</t>
  </si>
  <si>
    <t>Tср</t>
  </si>
  <si>
    <t>Табл2</t>
  </si>
  <si>
    <t>Табл3</t>
  </si>
  <si>
    <t>ml</t>
  </si>
  <si>
    <t>a</t>
  </si>
  <si>
    <t>d_i</t>
  </si>
  <si>
    <t>S_b</t>
  </si>
  <si>
    <t>Delta ml</t>
  </si>
  <si>
    <t>d_i for 4\phi /T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</si>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</sst>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 applyFill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Fill="1" applyBorder="1"/>
    <xf numFmtId="2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baseline="0"/>
              <a:t>A(t)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Лист1!$E$14:$E$18</c:f>
              <c:numCache>
                <c:formatCode>General</c:formatCode>
                <c:ptCount val="5"/>
                <c:pt idx="0" formatCode="0.00">
                  <c:v>170.89</c:v>
                </c:pt>
                <c:pt idx="1">
                  <c:v>129.71</c:v>
                </c:pt>
                <c:pt idx="2" formatCode="0.00">
                  <c:v>93.38</c:v>
                </c:pt>
                <c:pt idx="3">
                  <c:v>57.78</c:v>
                </c:pt>
                <c:pt idx="4" formatCode="0.00">
                  <c:v>28.85</c:v>
                </c:pt>
              </c:numCache>
            </c:numRef>
          </c:xVal>
          <c:yVal>
            <c:numRef>
              <c:f>Лист1!$D$14:$D$18</c:f>
              <c:numCache>
                <c:formatCode>General</c:formatCode>
                <c:ptCount val="5"/>
                <c:pt idx="0" formatCode="0.00">
                  <c:v>25</c:v>
                </c:pt>
                <c:pt idx="1">
                  <c:v>20</c:v>
                </c:pt>
                <c:pt idx="2" formatCode="0.00">
                  <c:v>15</c:v>
                </c:pt>
                <c:pt idx="3">
                  <c:v>10</c:v>
                </c:pt>
                <c:pt idx="4" formatCode="0.0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0-4F72-B35E-3F9F9EFD3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414288"/>
        <c:axId val="1114415120"/>
      </c:scatterChart>
      <c:valAx>
        <c:axId val="111441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t,c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30814994296072"/>
              <c:y val="0.838172266635847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415120"/>
        <c:crosses val="autoZero"/>
        <c:crossBetween val="midCat"/>
      </c:valAx>
      <c:valAx>
        <c:axId val="11144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 </a:t>
                </a:r>
                <a:r>
                  <a:rPr lang="ru-RU"/>
                  <a:t>градусы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41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Зависимость </a:t>
            </a:r>
            <a:r>
              <a:rPr lang="en-US"/>
              <a:t>T^2(I)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039370078740162E-2"/>
          <c:y val="5.0925925925925923E-2"/>
          <c:w val="0.86184251968503933"/>
          <c:h val="0.7935871950432426"/>
        </c:manualLayout>
      </c:layout>
      <c:scatterChart>
        <c:scatterStyle val="lineMarker"/>
        <c:varyColors val="0"/>
        <c:ser>
          <c:idx val="1"/>
          <c:order val="1"/>
          <c:tx>
            <c:v>эксп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Лист1!$J$28:$J$44</c:f>
              <c:numCache>
                <c:formatCode>0.000</c:formatCode>
                <c:ptCount val="17"/>
                <c:pt idx="0">
                  <c:v>0</c:v>
                </c:pt>
                <c:pt idx="1">
                  <c:v>0.03</c:v>
                </c:pt>
                <c:pt idx="2">
                  <c:v>3.2000000000000001E-2</c:v>
                </c:pt>
                <c:pt idx="3">
                  <c:v>3.4000000000000002E-2</c:v>
                </c:pt>
                <c:pt idx="4">
                  <c:v>3.6000000000000004E-2</c:v>
                </c:pt>
                <c:pt idx="5">
                  <c:v>3.8000000000000006E-2</c:v>
                </c:pt>
                <c:pt idx="6">
                  <c:v>4.0000000000000008E-2</c:v>
                </c:pt>
                <c:pt idx="7">
                  <c:v>4.200000000000001E-2</c:v>
                </c:pt>
                <c:pt idx="8">
                  <c:v>4.4000000000000011E-2</c:v>
                </c:pt>
                <c:pt idx="9">
                  <c:v>4.6000000000000013E-2</c:v>
                </c:pt>
                <c:pt idx="10">
                  <c:v>4.8000000000000015E-2</c:v>
                </c:pt>
                <c:pt idx="11">
                  <c:v>5.0000000000000017E-2</c:v>
                </c:pt>
                <c:pt idx="12">
                  <c:v>5.2000000000000018E-2</c:v>
                </c:pt>
                <c:pt idx="13">
                  <c:v>5.2999999999999999E-2</c:v>
                </c:pt>
                <c:pt idx="14">
                  <c:v>5.5E-2</c:v>
                </c:pt>
                <c:pt idx="15">
                  <c:v>5.7000000000000002E-2</c:v>
                </c:pt>
                <c:pt idx="16">
                  <c:v>0.06</c:v>
                </c:pt>
              </c:numCache>
            </c:numRef>
          </c:xVal>
          <c:yVal>
            <c:numRef>
              <c:f>Лист1!$L$28:$L$44</c:f>
              <c:numCache>
                <c:formatCode>General</c:formatCode>
                <c:ptCount val="17"/>
                <c:pt idx="2" formatCode="0.000">
                  <c:v>2.5920999999999994</c:v>
                </c:pt>
                <c:pt idx="4" formatCode="0.000">
                  <c:v>2.9240999999999993</c:v>
                </c:pt>
                <c:pt idx="6" formatCode="0.000">
                  <c:v>3.24</c:v>
                </c:pt>
                <c:pt idx="9" formatCode="0.000">
                  <c:v>3.7377777777777768</c:v>
                </c:pt>
                <c:pt idx="13" formatCode="0.00">
                  <c:v>4.2559689999999986</c:v>
                </c:pt>
                <c:pt idx="16" formatCode="0.00">
                  <c:v>4.8312039999999996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4B-4432-A1F7-17ABA8D6A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772895"/>
        <c:axId val="1808773311"/>
      </c:scatterChart>
      <c:scatterChart>
        <c:scatterStyle val="smoothMarker"/>
        <c:varyColors val="0"/>
        <c:ser>
          <c:idx val="0"/>
          <c:order val="0"/>
          <c:tx>
            <c:v>теор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Лист1!$J$28:$J$44</c:f>
              <c:numCache>
                <c:formatCode>0.000</c:formatCode>
                <c:ptCount val="17"/>
                <c:pt idx="0">
                  <c:v>0</c:v>
                </c:pt>
                <c:pt idx="1">
                  <c:v>0.03</c:v>
                </c:pt>
                <c:pt idx="2">
                  <c:v>3.2000000000000001E-2</c:v>
                </c:pt>
                <c:pt idx="3">
                  <c:v>3.4000000000000002E-2</c:v>
                </c:pt>
                <c:pt idx="4">
                  <c:v>3.6000000000000004E-2</c:v>
                </c:pt>
                <c:pt idx="5">
                  <c:v>3.8000000000000006E-2</c:v>
                </c:pt>
                <c:pt idx="6">
                  <c:v>4.0000000000000008E-2</c:v>
                </c:pt>
                <c:pt idx="7">
                  <c:v>4.200000000000001E-2</c:v>
                </c:pt>
                <c:pt idx="8">
                  <c:v>4.4000000000000011E-2</c:v>
                </c:pt>
                <c:pt idx="9">
                  <c:v>4.6000000000000013E-2</c:v>
                </c:pt>
                <c:pt idx="10">
                  <c:v>4.8000000000000015E-2</c:v>
                </c:pt>
                <c:pt idx="11">
                  <c:v>5.0000000000000017E-2</c:v>
                </c:pt>
                <c:pt idx="12">
                  <c:v>5.2000000000000018E-2</c:v>
                </c:pt>
                <c:pt idx="13">
                  <c:v>5.2999999999999999E-2</c:v>
                </c:pt>
                <c:pt idx="14">
                  <c:v>5.5E-2</c:v>
                </c:pt>
                <c:pt idx="15">
                  <c:v>5.7000000000000002E-2</c:v>
                </c:pt>
                <c:pt idx="16">
                  <c:v>0.06</c:v>
                </c:pt>
              </c:numCache>
            </c:numRef>
          </c:xVal>
          <c:yVal>
            <c:numRef>
              <c:f>Лист1!$K$28:$K$44</c:f>
              <c:numCache>
                <c:formatCode>0.000</c:formatCode>
                <c:ptCount val="17"/>
                <c:pt idx="0">
                  <c:v>0</c:v>
                </c:pt>
                <c:pt idx="1">
                  <c:v>2.425208528589859</c:v>
                </c:pt>
                <c:pt idx="2">
                  <c:v>2.5868890971625165</c:v>
                </c:pt>
                <c:pt idx="3">
                  <c:v>2.7485696657351735</c:v>
                </c:pt>
                <c:pt idx="4">
                  <c:v>2.9102502343078309</c:v>
                </c:pt>
                <c:pt idx="5">
                  <c:v>3.0719308028804888</c:v>
                </c:pt>
                <c:pt idx="6">
                  <c:v>3.2336113714531458</c:v>
                </c:pt>
                <c:pt idx="7">
                  <c:v>3.3952919400258033</c:v>
                </c:pt>
                <c:pt idx="8">
                  <c:v>3.5569725085984607</c:v>
                </c:pt>
                <c:pt idx="9">
                  <c:v>3.7186530771711177</c:v>
                </c:pt>
                <c:pt idx="10">
                  <c:v>3.8803336457437756</c:v>
                </c:pt>
                <c:pt idx="11">
                  <c:v>4.042014214316433</c:v>
                </c:pt>
                <c:pt idx="12">
                  <c:v>4.2036947828890909</c:v>
                </c:pt>
                <c:pt idx="13">
                  <c:v>4.2845350671754172</c:v>
                </c:pt>
                <c:pt idx="14">
                  <c:v>4.4462156357480742</c:v>
                </c:pt>
                <c:pt idx="15">
                  <c:v>4.607896204320733</c:v>
                </c:pt>
                <c:pt idx="16">
                  <c:v>4.8504170571797181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4B-4432-A1F7-17ABA8D6A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772895"/>
        <c:axId val="1808773311"/>
      </c:scatterChart>
      <c:valAx>
        <c:axId val="180877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Н*м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773311"/>
        <c:crosses val="autoZero"/>
        <c:crossBetween val="midCat"/>
      </c:valAx>
      <c:valAx>
        <c:axId val="18087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T^2, c^2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77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76203</xdr:colOff>
      <xdr:row>18</xdr:row>
      <xdr:rowOff>95250</xdr:rowOff>
    </xdr:from>
    <xdr:to>
      <xdr:col>7</xdr:col>
      <xdr:colOff>466726</xdr:colOff>
      <xdr:row>36</xdr:row>
      <xdr:rowOff>161924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C0ECA1-4E9C-6021-93CE-B28532360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514349</xdr:colOff>
      <xdr:row>26</xdr:row>
      <xdr:rowOff>114299</xdr:rowOff>
    </xdr:from>
    <xdr:to>
      <xdr:col>20</xdr:col>
      <xdr:colOff>9524</xdr:colOff>
      <xdr:row>41</xdr:row>
      <xdr:rowOff>161924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480DE5-8C9A-BEE5-B93C-0A8C9CE64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4"/>
  <sheetViews>
    <sheetView tabSelected="1" zoomScaleNormal="100" workbookViewId="0">
      <selection activeCell="J23" sqref="J23"/>
    </sheetView>
  </sheetViews>
  <sheetFormatPr defaultRowHeight="15" x14ac:dyDescent="0.25"/>
  <cols>
    <col min="3" max="3" width="22.42578125" customWidth="1"/>
    <col min="10" max="10" width="18.140625" customWidth="1"/>
    <col min="14" max="14" width="10.28515625" customWidth="1"/>
    <col min="20" max="20" width="12" bestFit="1" customWidth="1"/>
  </cols>
  <sheetData>
    <row r="1" spans="2:23" x14ac:dyDescent="0.25">
      <c r="B1" t="s">
        <v>0</v>
      </c>
      <c r="C1" t="s">
        <v>1</v>
      </c>
      <c r="D1" t="s">
        <v>2</v>
      </c>
      <c r="E1" t="s">
        <v>32</v>
      </c>
      <c r="F1" t="s">
        <v>33</v>
      </c>
      <c r="G1" t="s">
        <v>34</v>
      </c>
      <c r="H1" t="s">
        <v>35</v>
      </c>
    </row>
    <row r="2" spans="2:23" x14ac:dyDescent="0.25">
      <c r="B2">
        <v>17.899999999999999</v>
      </c>
      <c r="C2">
        <v>17.97</v>
      </c>
      <c r="D2">
        <v>17.920000000000002</v>
      </c>
      <c r="E2">
        <f>B2/10</f>
        <v>1.7899999999999998</v>
      </c>
      <c r="F2">
        <f>C2/10</f>
        <v>1.7969999999999999</v>
      </c>
      <c r="G2">
        <f>D2/10</f>
        <v>1.7920000000000003</v>
      </c>
      <c r="H2">
        <f>AVERAGE(E2:G2)</f>
        <v>1.7929999999999999</v>
      </c>
    </row>
    <row r="6" spans="2:23" x14ac:dyDescent="0.25">
      <c r="D6" t="s">
        <v>36</v>
      </c>
      <c r="L6" t="s">
        <v>37</v>
      </c>
    </row>
    <row r="7" spans="2:23" ht="30" x14ac:dyDescent="0.25">
      <c r="C7" s="12" t="s">
        <v>7</v>
      </c>
      <c r="D7" s="10">
        <v>25</v>
      </c>
      <c r="E7" s="10">
        <v>20</v>
      </c>
      <c r="F7" s="10">
        <v>15</v>
      </c>
      <c r="G7" s="10">
        <v>10</v>
      </c>
      <c r="H7" s="10">
        <v>5</v>
      </c>
      <c r="J7" s="4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Q7" s="3" t="s">
        <v>20</v>
      </c>
      <c r="R7" s="3" t="s">
        <v>30</v>
      </c>
      <c r="S7" s="3"/>
      <c r="T7" s="3"/>
    </row>
    <row r="8" spans="2:23" x14ac:dyDescent="0.25">
      <c r="C8" s="13"/>
      <c r="D8" s="11"/>
      <c r="E8" s="11"/>
      <c r="F8" s="11"/>
      <c r="G8" s="11"/>
      <c r="H8" s="11"/>
      <c r="J8" s="2" t="s">
        <v>14</v>
      </c>
      <c r="K8" s="2">
        <v>16.059999999999999</v>
      </c>
      <c r="L8" s="2">
        <v>16.21</v>
      </c>
      <c r="M8" s="2">
        <v>16.03</v>
      </c>
      <c r="N8" s="2">
        <f>AVERAGE(K8:M8)</f>
        <v>16.099999999999998</v>
      </c>
      <c r="O8" s="2">
        <f>N8/10</f>
        <v>1.6099999999999999</v>
      </c>
      <c r="Q8" s="6">
        <f>AVERAGE(D12:H12)</f>
        <v>96.123333333333335</v>
      </c>
      <c r="R8" s="6">
        <f>O8^2</f>
        <v>2.5920999999999994</v>
      </c>
      <c r="S8" s="6">
        <f>O9^2</f>
        <v>2.9240999999999993</v>
      </c>
      <c r="T8" s="6">
        <f>O10^2</f>
        <v>3.24</v>
      </c>
      <c r="U8" s="6">
        <f>O11^2</f>
        <v>3.7377777777777768</v>
      </c>
      <c r="V8" s="6">
        <f>O12^2</f>
        <v>4.2559689999999986</v>
      </c>
      <c r="W8" s="6">
        <f>O13^2</f>
        <v>4.8312039999999996</v>
      </c>
    </row>
    <row r="9" spans="2:23" x14ac:dyDescent="0.25">
      <c r="C9" s="1" t="s">
        <v>3</v>
      </c>
      <c r="D9" s="2">
        <v>170.92</v>
      </c>
      <c r="E9" s="2">
        <v>127.87</v>
      </c>
      <c r="F9" s="2">
        <v>93.3</v>
      </c>
      <c r="G9" s="2">
        <v>57.78</v>
      </c>
      <c r="H9" s="2">
        <v>29.47</v>
      </c>
      <c r="J9" s="2" t="s">
        <v>15</v>
      </c>
      <c r="K9" s="5">
        <v>17.14</v>
      </c>
      <c r="L9" s="5">
        <v>17.18</v>
      </c>
      <c r="M9" s="5">
        <v>16.98</v>
      </c>
      <c r="N9" s="2">
        <f t="shared" ref="N9:N13" si="0">AVERAGE(K9:M9)</f>
        <v>17.099999999999998</v>
      </c>
      <c r="O9" s="2">
        <f t="shared" ref="O9:O13" si="1">N9/10</f>
        <v>1.7099999999999997</v>
      </c>
      <c r="R9" s="6">
        <f t="shared" ref="R9:R12" si="2">O9^2</f>
        <v>2.9240999999999993</v>
      </c>
    </row>
    <row r="10" spans="2:23" x14ac:dyDescent="0.25">
      <c r="C10" s="1" t="s">
        <v>4</v>
      </c>
      <c r="D10" s="2">
        <v>170.81</v>
      </c>
      <c r="E10" s="2">
        <v>127.97</v>
      </c>
      <c r="F10" s="2">
        <v>93.01</v>
      </c>
      <c r="G10" s="2">
        <v>56.02</v>
      </c>
      <c r="H10" s="2">
        <v>28.09</v>
      </c>
      <c r="J10" s="2" t="s">
        <v>16</v>
      </c>
      <c r="K10" s="5">
        <v>18.02</v>
      </c>
      <c r="L10" s="5">
        <v>18.010000000000002</v>
      </c>
      <c r="M10" s="5">
        <v>17.97</v>
      </c>
      <c r="N10" s="2">
        <f t="shared" si="0"/>
        <v>18</v>
      </c>
      <c r="O10" s="2">
        <f t="shared" si="1"/>
        <v>1.8</v>
      </c>
      <c r="R10" s="6">
        <f t="shared" si="2"/>
        <v>3.24</v>
      </c>
    </row>
    <row r="11" spans="2:23" x14ac:dyDescent="0.25">
      <c r="C11" s="1" t="s">
        <v>5</v>
      </c>
      <c r="D11" s="1">
        <v>170.95</v>
      </c>
      <c r="E11" s="1">
        <v>133.29</v>
      </c>
      <c r="F11" s="1">
        <v>93.84</v>
      </c>
      <c r="G11" s="1">
        <v>59.54</v>
      </c>
      <c r="H11" s="1">
        <v>28.99</v>
      </c>
      <c r="J11" s="2" t="s">
        <v>17</v>
      </c>
      <c r="K11" s="2">
        <v>19.350000000000001</v>
      </c>
      <c r="L11" s="2">
        <v>19.420000000000002</v>
      </c>
      <c r="M11" s="2">
        <v>19.23</v>
      </c>
      <c r="N11" s="2">
        <f t="shared" si="0"/>
        <v>19.333333333333332</v>
      </c>
      <c r="O11" s="2">
        <f t="shared" si="1"/>
        <v>1.9333333333333331</v>
      </c>
      <c r="R11" s="6">
        <f t="shared" si="2"/>
        <v>3.7377777777777768</v>
      </c>
    </row>
    <row r="12" spans="2:23" x14ac:dyDescent="0.25">
      <c r="C12" s="1" t="s">
        <v>6</v>
      </c>
      <c r="D12" s="2">
        <f>AVERAGE(D9:D11)</f>
        <v>170.89333333333335</v>
      </c>
      <c r="E12" s="2">
        <f t="shared" ref="E12:H12" si="3">AVERAGE(E9:E11)</f>
        <v>129.71</v>
      </c>
      <c r="F12" s="2">
        <f t="shared" si="3"/>
        <v>93.383333333333326</v>
      </c>
      <c r="G12" s="2">
        <f t="shared" si="3"/>
        <v>57.78</v>
      </c>
      <c r="H12" s="2">
        <f t="shared" si="3"/>
        <v>28.849999999999998</v>
      </c>
      <c r="J12" s="2" t="s">
        <v>18</v>
      </c>
      <c r="K12" s="2">
        <v>20.61</v>
      </c>
      <c r="L12" s="2">
        <v>20.64</v>
      </c>
      <c r="M12" s="2">
        <v>20.64</v>
      </c>
      <c r="N12" s="2">
        <f t="shared" si="0"/>
        <v>20.63</v>
      </c>
      <c r="O12" s="2">
        <f t="shared" si="1"/>
        <v>2.0629999999999997</v>
      </c>
      <c r="R12" s="6">
        <f t="shared" si="2"/>
        <v>4.2559689999999986</v>
      </c>
    </row>
    <row r="13" spans="2:23" x14ac:dyDescent="0.25">
      <c r="J13" s="2" t="s">
        <v>19</v>
      </c>
      <c r="K13" s="2">
        <v>21.94</v>
      </c>
      <c r="L13" s="2">
        <v>22.07</v>
      </c>
      <c r="M13" s="2">
        <v>21.93</v>
      </c>
      <c r="N13" s="2">
        <f t="shared" si="0"/>
        <v>21.98</v>
      </c>
      <c r="O13" s="2">
        <f t="shared" si="1"/>
        <v>2.198</v>
      </c>
      <c r="R13" s="6">
        <f>O13^2</f>
        <v>4.8312039999999996</v>
      </c>
    </row>
    <row r="14" spans="2:23" x14ac:dyDescent="0.25">
      <c r="B14" s="3"/>
      <c r="C14" s="3"/>
      <c r="D14" s="3">
        <v>25</v>
      </c>
      <c r="E14" s="3">
        <v>170.89</v>
      </c>
      <c r="G14" s="3"/>
      <c r="H14" s="3"/>
    </row>
    <row r="15" spans="2:23" x14ac:dyDescent="0.25">
      <c r="D15">
        <v>20</v>
      </c>
      <c r="E15">
        <v>129.71</v>
      </c>
      <c r="G15">
        <f>AVERAGE(D7:H8)</f>
        <v>15</v>
      </c>
      <c r="H15">
        <v>25</v>
      </c>
      <c r="I15">
        <v>20</v>
      </c>
      <c r="J15">
        <v>15</v>
      </c>
      <c r="K15" s="3">
        <v>10</v>
      </c>
      <c r="L15" s="3">
        <v>5</v>
      </c>
      <c r="N15" t="s">
        <v>21</v>
      </c>
      <c r="T15" t="s">
        <v>31</v>
      </c>
      <c r="U15" t="s">
        <v>38</v>
      </c>
    </row>
    <row r="16" spans="2:23" x14ac:dyDescent="0.25">
      <c r="B16" s="3"/>
      <c r="C16" s="3"/>
      <c r="D16" s="3">
        <v>15</v>
      </c>
      <c r="E16" s="3">
        <v>93.38</v>
      </c>
      <c r="G16" s="3"/>
      <c r="H16" s="3"/>
      <c r="J16" s="3"/>
      <c r="N16" s="6" cm="1">
        <f t="array" ref="N16">(SUM((D12:H12-Q8)*(H15:L15-G15)))/SUMSQ((D12:H12-Q8))</f>
        <v>0.13992124814768264</v>
      </c>
      <c r="T16" cm="1">
        <f t="array" ref="T16">SUM(R8:W8*M24:R24)/(SUMSQ(M24:R24))</f>
        <v>80.840284286328639</v>
      </c>
      <c r="U16">
        <f>4*PI()^2/9.82/T16</f>
        <v>4.9730224159690181E-2</v>
      </c>
    </row>
    <row r="17" spans="2:24" x14ac:dyDescent="0.25">
      <c r="D17">
        <v>10</v>
      </c>
      <c r="E17">
        <v>57.78</v>
      </c>
      <c r="J17" t="s">
        <v>43</v>
      </c>
      <c r="K17" t="s">
        <v>44</v>
      </c>
    </row>
    <row r="18" spans="2:24" x14ac:dyDescent="0.25">
      <c r="B18" s="3"/>
      <c r="C18" s="3"/>
      <c r="D18" s="3">
        <v>5</v>
      </c>
      <c r="E18" s="3">
        <v>28.85</v>
      </c>
      <c r="G18" s="3"/>
      <c r="H18" s="3"/>
      <c r="J18">
        <f>D14-($K$18+$N$16*D12)</f>
        <v>-27.361305276233736</v>
      </c>
      <c r="K18">
        <f>15+N16*Q8</f>
        <v>28.449696776115751</v>
      </c>
      <c r="T18" t="s">
        <v>39</v>
      </c>
      <c r="U18" t="s">
        <v>40</v>
      </c>
      <c r="V18" t="s">
        <v>41</v>
      </c>
      <c r="W18">
        <f>SUMSQ(U19:U24)</f>
        <v>5.6579868804350585E-3</v>
      </c>
      <c r="X18">
        <f>SUMSQ(M24:R24)</f>
        <v>1.24229612215223E-2</v>
      </c>
    </row>
    <row r="19" spans="2:24" x14ac:dyDescent="0.25">
      <c r="J19">
        <f>D15-($K$18+$N$16*E12)</f>
        <v>-26.598881873351672</v>
      </c>
      <c r="L19" s="1" t="s">
        <v>22</v>
      </c>
      <c r="M19" s="1">
        <v>1</v>
      </c>
      <c r="N19" s="1">
        <v>2</v>
      </c>
      <c r="O19" s="1">
        <v>3</v>
      </c>
      <c r="P19" s="1">
        <v>4</v>
      </c>
      <c r="Q19" s="1">
        <v>5</v>
      </c>
      <c r="R19" s="1">
        <v>6</v>
      </c>
      <c r="T19">
        <f>AVERAGE(R8:W8)-T16*AVERAGE(M24:R24)</f>
        <v>4.790923427846927E-3</v>
      </c>
      <c r="U19">
        <f>R8-($T$19+$T$16*M24)</f>
        <v>8.0894588604487616E-3</v>
      </c>
      <c r="V19">
        <f>(1/(SUMSQ(M24:R24))*(SUMSQ(U19:U24))/(5))^0.5</f>
        <v>0.30180984416063172</v>
      </c>
      <c r="W19">
        <f>2.57*V19</f>
        <v>0.77565129949282352</v>
      </c>
    </row>
    <row r="20" spans="2:24" x14ac:dyDescent="0.25">
      <c r="J20">
        <f>D16-($K$18+$N$16*F12)</f>
        <v>-26.516009332306851</v>
      </c>
      <c r="L20" s="1" t="s">
        <v>23</v>
      </c>
      <c r="M20" s="9">
        <f>0.057+(M19-1)*0.025+0.04/2</f>
        <v>7.6999999999999999E-2</v>
      </c>
      <c r="N20" s="9"/>
      <c r="O20" s="9"/>
      <c r="P20" s="9"/>
      <c r="Q20" s="9"/>
      <c r="R20" s="9"/>
      <c r="U20">
        <f>R9-($T$19+$T$16*N24)</f>
        <v>4.4893076760490924E-2</v>
      </c>
      <c r="W20" t="s">
        <v>42</v>
      </c>
    </row>
    <row r="21" spans="2:24" x14ac:dyDescent="0.25">
      <c r="J21">
        <f>D17-($K$18+$N$16*G12)</f>
        <v>-26.534346494088851</v>
      </c>
      <c r="L21" s="1" t="s">
        <v>24</v>
      </c>
      <c r="M21" s="9">
        <f>0.057+(R19-1)*0.025+0.04/2</f>
        <v>0.20199999999999999</v>
      </c>
      <c r="N21" s="9"/>
      <c r="O21" s="9"/>
      <c r="P21" s="9"/>
      <c r="Q21" s="9"/>
      <c r="R21" s="9"/>
      <c r="U21">
        <f>R10-($T$19+$T$16*O24)</f>
        <v>-1.686039531152117E-2</v>
      </c>
      <c r="W21">
        <f>(4*PI()^2)/(9.82*W19)</f>
        <v>5.1830061540809664</v>
      </c>
    </row>
    <row r="22" spans="2:24" x14ac:dyDescent="0.25">
      <c r="J22">
        <f>D18-($K$18+$N$16*H12)</f>
        <v>-27.486424785176396</v>
      </c>
      <c r="L22" s="1" t="s">
        <v>25</v>
      </c>
      <c r="M22" s="1">
        <f>0.057+(M19-1)*0.025+0.04/2</f>
        <v>7.6999999999999999E-2</v>
      </c>
      <c r="N22" s="1">
        <f t="shared" ref="N22:R22" si="4">0.057+(N19-1)*0.025+0.04/2</f>
        <v>0.10200000000000001</v>
      </c>
      <c r="O22" s="1">
        <f t="shared" si="4"/>
        <v>0.127</v>
      </c>
      <c r="P22" s="1">
        <f t="shared" si="4"/>
        <v>0.152</v>
      </c>
      <c r="Q22" s="1">
        <f t="shared" si="4"/>
        <v>0.17699999999999999</v>
      </c>
      <c r="R22" s="1">
        <f t="shared" si="4"/>
        <v>0.20199999999999999</v>
      </c>
      <c r="U22">
        <f>R11-($T$19+$T$16*P24)</f>
        <v>2.08068204221874E-2</v>
      </c>
    </row>
    <row r="23" spans="2:24" x14ac:dyDescent="0.25">
      <c r="L23" s="1" t="s">
        <v>26</v>
      </c>
      <c r="M23" s="7">
        <f>0.408*($M$20^2+$M$21^2+2*M22^2)</f>
        <v>2.3905127999999998E-2</v>
      </c>
      <c r="N23" s="7">
        <f t="shared" ref="N23:R23" si="5">0.408*($M$20^2+$M$21^2+2*N22^2)</f>
        <v>2.7556727999999999E-2</v>
      </c>
      <c r="O23" s="7">
        <f t="shared" si="5"/>
        <v>3.2228328000000001E-2</v>
      </c>
      <c r="P23" s="7">
        <f t="shared" si="5"/>
        <v>3.7919927999999999E-2</v>
      </c>
      <c r="Q23" s="7">
        <f t="shared" si="5"/>
        <v>4.463152799999999E-2</v>
      </c>
      <c r="R23" s="7">
        <f t="shared" si="5"/>
        <v>5.2363127999999988E-2</v>
      </c>
      <c r="U23">
        <f>R12-($T$19+$T$16*Q24)</f>
        <v>-3.569609371713689E-3</v>
      </c>
    </row>
    <row r="24" spans="2:24" x14ac:dyDescent="0.25">
      <c r="L24" s="1" t="s">
        <v>27</v>
      </c>
      <c r="M24" s="7">
        <f>0.008+M23</f>
        <v>3.1905127999999998E-2</v>
      </c>
      <c r="N24" s="7">
        <f t="shared" ref="N24:Q24" si="6">0.008+N23</f>
        <v>3.5556727999999996E-2</v>
      </c>
      <c r="O24" s="7">
        <f t="shared" si="6"/>
        <v>4.0228328000000001E-2</v>
      </c>
      <c r="P24" s="7">
        <f t="shared" si="6"/>
        <v>4.5919927999999999E-2</v>
      </c>
      <c r="Q24" s="7">
        <f t="shared" si="6"/>
        <v>5.263152799999999E-2</v>
      </c>
      <c r="R24" s="7">
        <f>0.008+R23</f>
        <v>6.0363127999999988E-2</v>
      </c>
      <c r="U24">
        <f>R13-($T$19+$T$16*R24)</f>
        <v>-5.3359351359890894E-2</v>
      </c>
    </row>
    <row r="25" spans="2:24" x14ac:dyDescent="0.25">
      <c r="L25" s="1" t="s">
        <v>28</v>
      </c>
      <c r="M25" s="2">
        <f>(9.82*R8)/(4*PI()^2)</f>
        <v>0.64476804149289058</v>
      </c>
      <c r="N25" s="2">
        <f t="shared" ref="N25:R25" si="7">(9.82*S8)/(4*PI()^2)</f>
        <v>0.72735088543241433</v>
      </c>
      <c r="O25" s="2">
        <f t="shared" si="7"/>
        <v>0.8059289589278833</v>
      </c>
      <c r="P25" s="2">
        <f t="shared" si="7"/>
        <v>0.92974794850253717</v>
      </c>
      <c r="Q25" s="2">
        <f t="shared" si="7"/>
        <v>1.058644649814612</v>
      </c>
      <c r="R25" s="2">
        <f t="shared" si="7"/>
        <v>1.2017306203976001</v>
      </c>
    </row>
    <row r="26" spans="2:24" x14ac:dyDescent="0.25">
      <c r="L26" s="1" t="s">
        <v>29</v>
      </c>
      <c r="M26" s="2">
        <f>(M24)/($U$16)</f>
        <v>0.6415641300459155</v>
      </c>
      <c r="N26" s="2">
        <f t="shared" ref="N26:R26" si="8">(N24)/($U$16)</f>
        <v>0.71499231304131561</v>
      </c>
      <c r="O26" s="2">
        <f t="shared" si="8"/>
        <v>0.80893116167788903</v>
      </c>
      <c r="P26" s="2">
        <f t="shared" si="8"/>
        <v>0.92338067595563555</v>
      </c>
      <c r="Q26" s="2">
        <f t="shared" si="8"/>
        <v>1.0583408558745553</v>
      </c>
      <c r="R26" s="2">
        <f t="shared" si="8"/>
        <v>1.2138117014346481</v>
      </c>
    </row>
    <row r="27" spans="2:24" x14ac:dyDescent="0.25">
      <c r="J27" s="6" t="s">
        <v>27</v>
      </c>
      <c r="K27" t="s">
        <v>30</v>
      </c>
    </row>
    <row r="28" spans="2:24" x14ac:dyDescent="0.25">
      <c r="J28" s="8">
        <v>0</v>
      </c>
      <c r="K28" s="8">
        <v>0</v>
      </c>
    </row>
    <row r="29" spans="2:24" x14ac:dyDescent="0.25">
      <c r="J29" s="8">
        <v>0.03</v>
      </c>
      <c r="K29" s="8">
        <f>(4*PI()^2*J29)/($U$16*9.82)</f>
        <v>2.425208528589859</v>
      </c>
    </row>
    <row r="30" spans="2:24" x14ac:dyDescent="0.25">
      <c r="J30" s="8">
        <f>J29+0.002</f>
        <v>3.2000000000000001E-2</v>
      </c>
      <c r="K30" s="8">
        <f t="shared" ref="K30:K44" si="9">(4*PI()^2*J30)/($U$16*9.82)</f>
        <v>2.5868890971625165</v>
      </c>
      <c r="L30" s="8">
        <f>R8</f>
        <v>2.5920999999999994</v>
      </c>
    </row>
    <row r="31" spans="2:24" x14ac:dyDescent="0.25">
      <c r="J31" s="8">
        <f t="shared" ref="J31:J43" si="10">J30+0.002</f>
        <v>3.4000000000000002E-2</v>
      </c>
      <c r="K31" s="8">
        <f t="shared" si="9"/>
        <v>2.7485696657351735</v>
      </c>
      <c r="L31" s="8"/>
    </row>
    <row r="32" spans="2:24" x14ac:dyDescent="0.25">
      <c r="J32" s="8">
        <f t="shared" si="10"/>
        <v>3.6000000000000004E-2</v>
      </c>
      <c r="K32" s="8">
        <f t="shared" si="9"/>
        <v>2.9102502343078309</v>
      </c>
      <c r="L32" s="8">
        <f>R9</f>
        <v>2.9240999999999993</v>
      </c>
    </row>
    <row r="33" spans="10:12" x14ac:dyDescent="0.25">
      <c r="J33" s="8">
        <f t="shared" si="10"/>
        <v>3.8000000000000006E-2</v>
      </c>
      <c r="K33" s="8">
        <f t="shared" si="9"/>
        <v>3.0719308028804888</v>
      </c>
      <c r="L33" s="8"/>
    </row>
    <row r="34" spans="10:12" x14ac:dyDescent="0.25">
      <c r="J34" s="8">
        <f t="shared" si="10"/>
        <v>4.0000000000000008E-2</v>
      </c>
      <c r="K34" s="8">
        <f t="shared" si="9"/>
        <v>3.2336113714531458</v>
      </c>
      <c r="L34" s="8">
        <f>R10</f>
        <v>3.24</v>
      </c>
    </row>
    <row r="35" spans="10:12" x14ac:dyDescent="0.25">
      <c r="J35" s="8">
        <f t="shared" si="10"/>
        <v>4.200000000000001E-2</v>
      </c>
      <c r="K35" s="8">
        <f t="shared" si="9"/>
        <v>3.3952919400258033</v>
      </c>
      <c r="L35" s="8"/>
    </row>
    <row r="36" spans="10:12" x14ac:dyDescent="0.25">
      <c r="J36" s="8">
        <f t="shared" si="10"/>
        <v>4.4000000000000011E-2</v>
      </c>
      <c r="K36" s="8">
        <f t="shared" si="9"/>
        <v>3.5569725085984607</v>
      </c>
      <c r="L36" s="8"/>
    </row>
    <row r="37" spans="10:12" x14ac:dyDescent="0.25">
      <c r="J37" s="8">
        <f t="shared" si="10"/>
        <v>4.6000000000000013E-2</v>
      </c>
      <c r="K37" s="8">
        <f t="shared" si="9"/>
        <v>3.7186530771711177</v>
      </c>
      <c r="L37" s="8">
        <f>R11</f>
        <v>3.7377777777777768</v>
      </c>
    </row>
    <row r="38" spans="10:12" x14ac:dyDescent="0.25">
      <c r="J38" s="8">
        <f t="shared" si="10"/>
        <v>4.8000000000000015E-2</v>
      </c>
      <c r="K38" s="8">
        <f t="shared" si="9"/>
        <v>3.8803336457437756</v>
      </c>
      <c r="L38" s="8"/>
    </row>
    <row r="39" spans="10:12" x14ac:dyDescent="0.25">
      <c r="J39" s="8">
        <f t="shared" si="10"/>
        <v>5.0000000000000017E-2</v>
      </c>
      <c r="K39" s="8">
        <f t="shared" si="9"/>
        <v>4.042014214316433</v>
      </c>
    </row>
    <row r="40" spans="10:12" x14ac:dyDescent="0.25">
      <c r="J40" s="8">
        <f t="shared" si="10"/>
        <v>5.2000000000000018E-2</v>
      </c>
      <c r="K40" s="8">
        <f t="shared" si="9"/>
        <v>4.2036947828890909</v>
      </c>
    </row>
    <row r="41" spans="10:12" x14ac:dyDescent="0.25">
      <c r="J41" s="8">
        <f>0.053</f>
        <v>5.2999999999999999E-2</v>
      </c>
      <c r="K41" s="8">
        <f t="shared" si="9"/>
        <v>4.2845350671754172</v>
      </c>
      <c r="L41" s="6">
        <f>R12</f>
        <v>4.2559689999999986</v>
      </c>
    </row>
    <row r="42" spans="10:12" x14ac:dyDescent="0.25">
      <c r="J42" s="8">
        <f t="shared" si="10"/>
        <v>5.5E-2</v>
      </c>
      <c r="K42" s="8">
        <f t="shared" si="9"/>
        <v>4.4462156357480742</v>
      </c>
    </row>
    <row r="43" spans="10:12" x14ac:dyDescent="0.25">
      <c r="J43" s="8">
        <f t="shared" si="10"/>
        <v>5.7000000000000002E-2</v>
      </c>
      <c r="K43" s="8">
        <f t="shared" si="9"/>
        <v>4.607896204320733</v>
      </c>
    </row>
    <row r="44" spans="10:12" x14ac:dyDescent="0.25">
      <c r="J44" s="8">
        <f>0.06</f>
        <v>0.06</v>
      </c>
      <c r="K44" s="8">
        <f t="shared" si="9"/>
        <v>4.8504170571797181</v>
      </c>
      <c r="L44" s="6">
        <f>R13</f>
        <v>4.8312039999999996</v>
      </c>
    </row>
  </sheetData>
  <mergeCells count="8">
    <mergeCell ref="M20:R20"/>
    <mergeCell ref="M21:R21"/>
    <mergeCell ref="H7:H8"/>
    <mergeCell ref="C7:C8"/>
    <mergeCell ref="D7:D8"/>
    <mergeCell ref="E7:E8"/>
    <mergeCell ref="F7:F8"/>
    <mergeCell ref="G7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ExcaliBBur Velichaishiy</dc:creator>
  <cp:lastModifiedBy>ExcaliBBur Velichaishiy</cp:lastModifiedBy>
  <dcterms:created xsi:type="dcterms:W3CDTF">2015-06-05T18:19:34Z</dcterms:created>
  <dcterms:modified xsi:type="dcterms:W3CDTF">2022-06-01T18:41:14Z</dcterms:modified>
</cp:coreProperties>
</file>