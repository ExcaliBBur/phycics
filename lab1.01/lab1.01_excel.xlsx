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ly_labs_java\physics\lab1.01\"/>
    </mc:Choice>
  </mc:AlternateContent>
  <xr:revisionPtr revIDLastSave="0" documentId="13_ncr:1_{082C3A39-EDF2-4C22-8C2B-551925902CDF}" xr6:coauthVersionLast="47" xr6:coauthVersionMax="47" xr10:uidLastSave="{00000000-0000-0000-0000-000000000000}"/>
  <bookViews>
    <workbookView xWindow="-120" yWindow="-120" windowWidth="29040" windowHeight="16440" xr2:uid="{577842F4-D254-4687-9917-995D2154116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1" l="1"/>
  <c r="H6" i="1"/>
  <c r="D26" i="1"/>
  <c r="D35" i="1"/>
  <c r="D37" i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C36" i="1"/>
  <c r="D36" i="1" s="1"/>
  <c r="C37" i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2" i="1"/>
  <c r="D2" i="1" s="1"/>
  <c r="I18" i="1" s="1"/>
  <c r="H4" i="1"/>
  <c r="H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H7" i="1" l="1"/>
</calcChain>
</file>

<file path=xl/sharedStrings.xml><?xml version="1.0" encoding="utf-8"?>
<sst xmlns="http://schemas.openxmlformats.org/spreadsheetml/2006/main" count="7" uniqueCount="7">
  <si>
    <t>№</t>
  </si>
  <si>
    <t>Среднее:</t>
  </si>
  <si>
    <t>Max:</t>
  </si>
  <si>
    <t>Min:</t>
  </si>
  <si>
    <t>t, см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</si>
  <si>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- (t)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, см</t>
    </r>
  </si>
  <si>
    <r>
      <t>(t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 xml:space="preserve"> - (t)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>, см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</si>
</sst>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Полученный 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176131440"/>
        <c:axId val="176130608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Лист1!$I$43:$I$50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0.28999999999999998</c:v>
                      </c:pt>
                      <c:pt idx="1">
                        <c:v>0.48</c:v>
                      </c:pt>
                      <c:pt idx="2">
                        <c:v>0.67</c:v>
                      </c:pt>
                      <c:pt idx="3">
                        <c:v>0.7</c:v>
                      </c:pt>
                      <c:pt idx="4">
                        <c:v>0.86</c:v>
                      </c:pt>
                      <c:pt idx="5">
                        <c:v>1.05</c:v>
                      </c:pt>
                      <c:pt idx="6">
                        <c:v>1.24</c:v>
                      </c:pt>
                      <c:pt idx="7">
                        <c:v>1.42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Лист1!$J$43:$J$50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0.42699999999999999</c:v>
                      </c:pt>
                      <c:pt idx="1">
                        <c:v>1.079</c:v>
                      </c:pt>
                      <c:pt idx="2">
                        <c:v>1.5589999999999999</c:v>
                      </c:pt>
                      <c:pt idx="3">
                        <c:v>1.57</c:v>
                      </c:pt>
                      <c:pt idx="4">
                        <c:v>1.2869999999999999</c:v>
                      </c:pt>
                      <c:pt idx="5">
                        <c:v>0.60699999999999998</c:v>
                      </c:pt>
                      <c:pt idx="6">
                        <c:v>0.16300000000000001</c:v>
                      </c:pt>
                      <c:pt idx="7">
                        <c:v>2.8000000000000001E-2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375-4155-9EEB-1EAB00939950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Лист1!$I$43:$I$50</c:f>
              <c:numCache>
                <c:formatCode>General</c:formatCode>
                <c:ptCount val="8"/>
                <c:pt idx="0">
                  <c:v>0.28999999999999998</c:v>
                </c:pt>
                <c:pt idx="1">
                  <c:v>0.48</c:v>
                </c:pt>
                <c:pt idx="2">
                  <c:v>0.67</c:v>
                </c:pt>
                <c:pt idx="3">
                  <c:v>0.7</c:v>
                </c:pt>
                <c:pt idx="4">
                  <c:v>0.86</c:v>
                </c:pt>
                <c:pt idx="5">
                  <c:v>1.05</c:v>
                </c:pt>
                <c:pt idx="6">
                  <c:v>1.24</c:v>
                </c:pt>
                <c:pt idx="7">
                  <c:v>1.42</c:v>
                </c:pt>
              </c:numCache>
            </c:numRef>
          </c:cat>
          <c:val>
            <c:numRef>
              <c:f>Лист1!$J$43:$J$50</c:f>
              <c:numCache>
                <c:formatCode>General</c:formatCode>
                <c:ptCount val="8"/>
                <c:pt idx="0">
                  <c:v>0.42699999999999999</c:v>
                </c:pt>
                <c:pt idx="1">
                  <c:v>1.079</c:v>
                </c:pt>
                <c:pt idx="2">
                  <c:v>1.5589999999999999</c:v>
                </c:pt>
                <c:pt idx="3">
                  <c:v>1.57</c:v>
                </c:pt>
                <c:pt idx="4">
                  <c:v>1.2869999999999999</c:v>
                </c:pt>
                <c:pt idx="5">
                  <c:v>0.60699999999999998</c:v>
                </c:pt>
                <c:pt idx="6">
                  <c:v>0.16300000000000001</c:v>
                </c:pt>
                <c:pt idx="7">
                  <c:v>2.8000000000000001E-2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72-4B04-BFD5-C9D118E24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31440"/>
        <c:axId val="176130608"/>
      </c:lineChart>
      <c:catAx>
        <c:axId val="17613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30608"/>
        <c:crosses val="autoZero"/>
        <c:auto val="1"/>
        <c:lblAlgn val="ctr"/>
        <c:lblOffset val="100"/>
        <c:noMultiLvlLbl val="0"/>
      </c:catAx>
      <c:valAx>
        <c:axId val="17613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314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24</xdr:row>
      <xdr:rowOff>19050</xdr:rowOff>
    </xdr:from>
    <xdr:to>
      <xdr:col>11</xdr:col>
      <xdr:colOff>123825</xdr:colOff>
      <xdr:row>37</xdr:row>
      <xdr:rowOff>171450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FD23E01D-D86F-43D9-A652-3526B2CBA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4ED5-E51C-4909-8657-55CD7A477061}">
  <dimension ref="A1:P52"/>
  <sheetViews>
    <sheetView tabSelected="1" topLeftCell="A16" workbookViewId="0">
      <selection activeCell="S34" sqref="S34"/>
    </sheetView>
  </sheetViews>
  <sheetFormatPr defaultRowHeight="15" x14ac:dyDescent="0.25"/>
  <cols>
    <col min="2" max="2" width="12.7109375" customWidth="1"/>
    <col min="3" max="3" width="16.140625" customWidth="1"/>
    <col min="4" max="4" width="20.140625" customWidth="1"/>
    <col min="6" max="6" width="12.28515625" bestFit="1" customWidth="1"/>
  </cols>
  <sheetData>
    <row r="1" spans="1:8" ht="18.75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8" x14ac:dyDescent="0.25">
      <c r="A2" s="1">
        <v>1</v>
      </c>
      <c r="B2" s="1">
        <v>0.9</v>
      </c>
      <c r="C2" s="1">
        <f>B2-$H$2</f>
        <v>0.20000000000000007</v>
      </c>
      <c r="D2" s="1">
        <f>C2^2</f>
        <v>4.0000000000000029E-2</v>
      </c>
      <c r="G2" t="s">
        <v>1</v>
      </c>
      <c r="H2">
        <v>0.7</v>
      </c>
    </row>
    <row r="3" spans="1:8" x14ac:dyDescent="0.25">
      <c r="A3" s="1">
        <f>A2+1</f>
        <v>2</v>
      </c>
      <c r="B3" s="1">
        <v>0.5</v>
      </c>
      <c r="C3" s="1">
        <f t="shared" ref="C3:C51" si="0">B3-$H$2</f>
        <v>-0.19999999999999996</v>
      </c>
      <c r="D3" s="1">
        <f t="shared" ref="D3:D51" si="1">C3^2</f>
        <v>3.999999999999998E-2</v>
      </c>
      <c r="G3" t="s">
        <v>2</v>
      </c>
      <c r="H3">
        <f>MAX(B2:B51)</f>
        <v>1.5</v>
      </c>
    </row>
    <row r="4" spans="1:8" x14ac:dyDescent="0.25">
      <c r="A4" s="1">
        <f t="shared" ref="A4:A51" si="2">A3+1</f>
        <v>3</v>
      </c>
      <c r="B4" s="1">
        <v>0.8</v>
      </c>
      <c r="C4" s="1">
        <f t="shared" si="0"/>
        <v>0.10000000000000009</v>
      </c>
      <c r="D4" s="1">
        <f t="shared" si="1"/>
        <v>1.0000000000000018E-2</v>
      </c>
      <c r="G4" t="s">
        <v>3</v>
      </c>
      <c r="H4">
        <f>MIN(B1:B51)</f>
        <v>0.2</v>
      </c>
    </row>
    <row r="5" spans="1:8" x14ac:dyDescent="0.25">
      <c r="A5" s="1">
        <f t="shared" si="2"/>
        <v>4</v>
      </c>
      <c r="B5" s="1">
        <v>0.5</v>
      </c>
      <c r="C5" s="1">
        <f t="shared" si="0"/>
        <v>-0.19999999999999996</v>
      </c>
      <c r="D5" s="1">
        <f t="shared" si="1"/>
        <v>3.999999999999998E-2</v>
      </c>
    </row>
    <row r="6" spans="1:8" x14ac:dyDescent="0.25">
      <c r="A6" s="1">
        <f t="shared" si="2"/>
        <v>5</v>
      </c>
      <c r="B6" s="1">
        <v>0.6</v>
      </c>
      <c r="C6" s="1">
        <f t="shared" si="0"/>
        <v>-9.9999999999999978E-2</v>
      </c>
      <c r="D6" s="1">
        <f t="shared" si="1"/>
        <v>9.999999999999995E-3</v>
      </c>
      <c r="H6">
        <f>COUNTIFS(B2:B51,"&gt;0,191",B2:B51,"&lt;=1,208")</f>
        <v>49</v>
      </c>
    </row>
    <row r="7" spans="1:8" x14ac:dyDescent="0.25">
      <c r="A7" s="1">
        <f t="shared" si="2"/>
        <v>6</v>
      </c>
      <c r="B7" s="1">
        <v>1.5</v>
      </c>
      <c r="C7" s="1">
        <f t="shared" si="0"/>
        <v>0.8</v>
      </c>
      <c r="D7" s="1">
        <f t="shared" si="1"/>
        <v>0.64000000000000012</v>
      </c>
      <c r="H7">
        <f>SUM(D2:D51)</f>
        <v>3.1660000000000004</v>
      </c>
    </row>
    <row r="8" spans="1:8" x14ac:dyDescent="0.25">
      <c r="A8" s="1">
        <f t="shared" si="2"/>
        <v>7</v>
      </c>
      <c r="B8" s="1">
        <v>0.9</v>
      </c>
      <c r="C8" s="1">
        <f t="shared" si="0"/>
        <v>0.20000000000000007</v>
      </c>
      <c r="D8" s="1">
        <f t="shared" si="1"/>
        <v>4.0000000000000029E-2</v>
      </c>
    </row>
    <row r="9" spans="1:8" x14ac:dyDescent="0.25">
      <c r="A9" s="1">
        <f t="shared" si="2"/>
        <v>8</v>
      </c>
      <c r="B9" s="1">
        <v>0.4</v>
      </c>
      <c r="C9" s="1">
        <f t="shared" si="0"/>
        <v>-0.29999999999999993</v>
      </c>
      <c r="D9" s="1">
        <f t="shared" si="1"/>
        <v>8.9999999999999955E-2</v>
      </c>
    </row>
    <row r="10" spans="1:8" x14ac:dyDescent="0.25">
      <c r="A10" s="1">
        <f t="shared" si="2"/>
        <v>9</v>
      </c>
      <c r="B10" s="1">
        <v>0.3</v>
      </c>
      <c r="C10" s="1">
        <f t="shared" si="0"/>
        <v>-0.39999999999999997</v>
      </c>
      <c r="D10" s="1">
        <f t="shared" si="1"/>
        <v>0.15999999999999998</v>
      </c>
      <c r="F10">
        <f>SUM(B2:B51)/50</f>
        <v>0.70000000000000029</v>
      </c>
    </row>
    <row r="11" spans="1:8" x14ac:dyDescent="0.25">
      <c r="A11" s="1">
        <f t="shared" si="2"/>
        <v>10</v>
      </c>
      <c r="B11" s="1">
        <v>1</v>
      </c>
      <c r="C11" s="1">
        <f t="shared" si="0"/>
        <v>0.30000000000000004</v>
      </c>
      <c r="D11" s="1">
        <f t="shared" si="1"/>
        <v>9.0000000000000024E-2</v>
      </c>
    </row>
    <row r="12" spans="1:8" x14ac:dyDescent="0.25">
      <c r="A12" s="1">
        <f t="shared" si="2"/>
        <v>11</v>
      </c>
      <c r="B12" s="1">
        <v>1.1000000000000001</v>
      </c>
      <c r="C12" s="1">
        <f t="shared" si="0"/>
        <v>0.40000000000000013</v>
      </c>
      <c r="D12" s="1">
        <f t="shared" si="1"/>
        <v>0.16000000000000011</v>
      </c>
    </row>
    <row r="13" spans="1:8" x14ac:dyDescent="0.25">
      <c r="A13" s="1">
        <f t="shared" si="2"/>
        <v>12</v>
      </c>
      <c r="B13" s="1">
        <v>1</v>
      </c>
      <c r="C13" s="1">
        <f t="shared" si="0"/>
        <v>0.30000000000000004</v>
      </c>
      <c r="D13" s="1">
        <f t="shared" si="1"/>
        <v>9.0000000000000024E-2</v>
      </c>
    </row>
    <row r="14" spans="1:8" x14ac:dyDescent="0.25">
      <c r="A14" s="1">
        <f t="shared" si="2"/>
        <v>13</v>
      </c>
      <c r="B14" s="1">
        <v>0.8</v>
      </c>
      <c r="C14" s="1">
        <f t="shared" si="0"/>
        <v>0.10000000000000009</v>
      </c>
      <c r="D14" s="1">
        <f t="shared" si="1"/>
        <v>1.0000000000000018E-2</v>
      </c>
    </row>
    <row r="15" spans="1:8" x14ac:dyDescent="0.25">
      <c r="A15" s="1">
        <f t="shared" si="2"/>
        <v>14</v>
      </c>
      <c r="B15" s="1">
        <v>0.6</v>
      </c>
      <c r="C15" s="1">
        <f t="shared" si="0"/>
        <v>-9.9999999999999978E-2</v>
      </c>
      <c r="D15" s="1">
        <f t="shared" si="1"/>
        <v>9.999999999999995E-3</v>
      </c>
    </row>
    <row r="16" spans="1:8" x14ac:dyDescent="0.25">
      <c r="A16" s="1">
        <f t="shared" si="2"/>
        <v>15</v>
      </c>
      <c r="B16" s="1">
        <v>1</v>
      </c>
      <c r="C16" s="1">
        <f t="shared" si="0"/>
        <v>0.30000000000000004</v>
      </c>
      <c r="D16" s="1">
        <f t="shared" si="1"/>
        <v>9.0000000000000024E-2</v>
      </c>
    </row>
    <row r="17" spans="1:16" x14ac:dyDescent="0.25">
      <c r="A17" s="1">
        <f t="shared" si="2"/>
        <v>16</v>
      </c>
      <c r="B17" s="1">
        <v>0.4</v>
      </c>
      <c r="C17" s="1">
        <f t="shared" si="0"/>
        <v>-0.29999999999999993</v>
      </c>
      <c r="D17" s="1">
        <f t="shared" si="1"/>
        <v>8.9999999999999955E-2</v>
      </c>
    </row>
    <row r="18" spans="1:16" x14ac:dyDescent="0.25">
      <c r="A18" s="1">
        <f t="shared" si="2"/>
        <v>17</v>
      </c>
      <c r="B18" s="1">
        <v>0.5</v>
      </c>
      <c r="C18" s="1">
        <f t="shared" si="0"/>
        <v>-0.19999999999999996</v>
      </c>
      <c r="D18" s="1">
        <f t="shared" si="1"/>
        <v>3.999999999999998E-2</v>
      </c>
      <c r="I18">
        <f>SUM(D2:D51)</f>
        <v>3.1660000000000004</v>
      </c>
    </row>
    <row r="19" spans="1:16" x14ac:dyDescent="0.25">
      <c r="A19" s="1">
        <f t="shared" si="2"/>
        <v>18</v>
      </c>
      <c r="B19" s="1">
        <v>0.35</v>
      </c>
      <c r="C19" s="1">
        <f t="shared" si="0"/>
        <v>-0.35</v>
      </c>
      <c r="D19" s="1">
        <f t="shared" si="1"/>
        <v>0.12249999999999998</v>
      </c>
    </row>
    <row r="20" spans="1:16" x14ac:dyDescent="0.25">
      <c r="A20" s="1">
        <f t="shared" si="2"/>
        <v>19</v>
      </c>
      <c r="B20" s="1">
        <v>0.3</v>
      </c>
      <c r="C20" s="1">
        <f t="shared" si="0"/>
        <v>-0.39999999999999997</v>
      </c>
      <c r="D20" s="1">
        <f t="shared" si="1"/>
        <v>0.15999999999999998</v>
      </c>
    </row>
    <row r="21" spans="1:16" x14ac:dyDescent="0.25">
      <c r="A21" s="1">
        <f t="shared" si="2"/>
        <v>20</v>
      </c>
      <c r="B21" s="1">
        <v>0.2</v>
      </c>
      <c r="C21" s="1">
        <f t="shared" si="0"/>
        <v>-0.49999999999999994</v>
      </c>
      <c r="D21" s="1">
        <f t="shared" si="1"/>
        <v>0.24999999999999994</v>
      </c>
    </row>
    <row r="22" spans="1:16" x14ac:dyDescent="0.25">
      <c r="A22" s="1">
        <f t="shared" si="2"/>
        <v>21</v>
      </c>
      <c r="B22" s="1">
        <v>0.65</v>
      </c>
      <c r="C22" s="1">
        <f t="shared" si="0"/>
        <v>-4.9999999999999933E-2</v>
      </c>
      <c r="D22" s="1">
        <f t="shared" si="1"/>
        <v>2.4999999999999935E-3</v>
      </c>
    </row>
    <row r="23" spans="1:16" x14ac:dyDescent="0.25">
      <c r="A23" s="1">
        <f t="shared" si="2"/>
        <v>22</v>
      </c>
      <c r="B23" s="1">
        <v>0.7</v>
      </c>
      <c r="C23" s="1">
        <f t="shared" si="0"/>
        <v>0</v>
      </c>
      <c r="D23" s="1">
        <f t="shared" si="1"/>
        <v>0</v>
      </c>
    </row>
    <row r="24" spans="1:16" x14ac:dyDescent="0.25">
      <c r="A24" s="1">
        <f t="shared" si="2"/>
        <v>23</v>
      </c>
      <c r="B24" s="1">
        <v>0.45</v>
      </c>
      <c r="C24" s="1">
        <f t="shared" si="0"/>
        <v>-0.24999999999999994</v>
      </c>
      <c r="D24" s="1">
        <f t="shared" si="1"/>
        <v>6.2499999999999972E-2</v>
      </c>
    </row>
    <row r="25" spans="1:16" x14ac:dyDescent="0.25">
      <c r="A25" s="1">
        <f t="shared" si="2"/>
        <v>24</v>
      </c>
      <c r="B25" s="1">
        <v>0.88</v>
      </c>
      <c r="C25" s="1">
        <f t="shared" si="0"/>
        <v>0.18000000000000005</v>
      </c>
      <c r="D25" s="1">
        <f t="shared" si="1"/>
        <v>3.2400000000000019E-2</v>
      </c>
    </row>
    <row r="26" spans="1:16" ht="15.75" thickBot="1" x14ac:dyDescent="0.3">
      <c r="A26" s="1">
        <f t="shared" si="2"/>
        <v>25</v>
      </c>
      <c r="B26" s="1">
        <v>0.79</v>
      </c>
      <c r="C26" s="1">
        <f t="shared" si="0"/>
        <v>9.000000000000008E-2</v>
      </c>
      <c r="D26" s="1">
        <f t="shared" si="1"/>
        <v>8.1000000000000152E-3</v>
      </c>
    </row>
    <row r="27" spans="1:16" ht="15.75" thickBot="1" x14ac:dyDescent="0.3">
      <c r="A27" s="1">
        <f t="shared" si="2"/>
        <v>26</v>
      </c>
      <c r="B27" s="1">
        <v>1.1000000000000001</v>
      </c>
      <c r="C27" s="1">
        <f t="shared" si="0"/>
        <v>0.40000000000000013</v>
      </c>
      <c r="D27" s="1">
        <f t="shared" si="1"/>
        <v>0.16000000000000011</v>
      </c>
      <c r="L27" s="3">
        <v>0.2</v>
      </c>
      <c r="M27" s="6">
        <v>4</v>
      </c>
      <c r="N27" s="6">
        <v>0.4</v>
      </c>
      <c r="O27" s="6">
        <v>0.28999999999999998</v>
      </c>
      <c r="P27" s="6">
        <v>0.42699999999999999</v>
      </c>
    </row>
    <row r="28" spans="1:16" ht="15.75" thickBot="1" x14ac:dyDescent="0.3">
      <c r="A28" s="1">
        <f t="shared" si="2"/>
        <v>27</v>
      </c>
      <c r="B28" s="1">
        <v>0.7</v>
      </c>
      <c r="C28" s="1">
        <f t="shared" si="0"/>
        <v>0</v>
      </c>
      <c r="D28" s="1">
        <f t="shared" si="1"/>
        <v>0</v>
      </c>
      <c r="L28" s="4">
        <v>0.38</v>
      </c>
      <c r="M28" s="7"/>
      <c r="N28" s="7"/>
      <c r="O28" s="7"/>
      <c r="P28" s="7"/>
    </row>
    <row r="29" spans="1:16" ht="15.75" thickBot="1" x14ac:dyDescent="0.3">
      <c r="A29" s="1">
        <f t="shared" si="2"/>
        <v>28</v>
      </c>
      <c r="B29" s="1">
        <v>0.62</v>
      </c>
      <c r="C29" s="1">
        <f t="shared" si="0"/>
        <v>-7.999999999999996E-2</v>
      </c>
      <c r="D29" s="1">
        <f t="shared" si="1"/>
        <v>6.3999999999999934E-3</v>
      </c>
      <c r="L29" s="4">
        <v>0.39</v>
      </c>
      <c r="M29" s="6">
        <v>12</v>
      </c>
      <c r="N29" s="6">
        <v>1.3</v>
      </c>
      <c r="O29" s="6">
        <v>0.48</v>
      </c>
      <c r="P29" s="6">
        <v>1.079</v>
      </c>
    </row>
    <row r="30" spans="1:16" ht="15.75" thickBot="1" x14ac:dyDescent="0.3">
      <c r="A30" s="1">
        <f t="shared" si="2"/>
        <v>29</v>
      </c>
      <c r="B30" s="1">
        <v>0.91</v>
      </c>
      <c r="C30" s="1">
        <f t="shared" si="0"/>
        <v>0.21000000000000008</v>
      </c>
      <c r="D30" s="1">
        <f t="shared" si="1"/>
        <v>4.4100000000000035E-2</v>
      </c>
      <c r="L30" s="4">
        <v>0.56999999999999995</v>
      </c>
      <c r="M30" s="7"/>
      <c r="N30" s="7"/>
      <c r="O30" s="7"/>
      <c r="P30" s="7"/>
    </row>
    <row r="31" spans="1:16" ht="15.75" thickBot="1" x14ac:dyDescent="0.3">
      <c r="A31" s="1">
        <f t="shared" si="2"/>
        <v>30</v>
      </c>
      <c r="B31" s="1">
        <v>1</v>
      </c>
      <c r="C31" s="1">
        <f t="shared" si="0"/>
        <v>0.30000000000000004</v>
      </c>
      <c r="D31" s="1">
        <f t="shared" si="1"/>
        <v>9.0000000000000024E-2</v>
      </c>
      <c r="L31" s="4">
        <v>0.57999999999999996</v>
      </c>
      <c r="M31" s="6">
        <v>13</v>
      </c>
      <c r="N31" s="6">
        <v>1.4</v>
      </c>
      <c r="O31" s="6">
        <v>0.67</v>
      </c>
      <c r="P31" s="6">
        <v>1.5589999999999999</v>
      </c>
    </row>
    <row r="32" spans="1:16" ht="15.75" thickBot="1" x14ac:dyDescent="0.3">
      <c r="A32" s="1">
        <f t="shared" si="2"/>
        <v>31</v>
      </c>
      <c r="B32" s="1">
        <v>0.9</v>
      </c>
      <c r="C32" s="1">
        <f t="shared" si="0"/>
        <v>0.20000000000000007</v>
      </c>
      <c r="D32" s="1">
        <f t="shared" si="1"/>
        <v>4.0000000000000029E-2</v>
      </c>
      <c r="L32" s="4">
        <v>0.76</v>
      </c>
      <c r="M32" s="7"/>
      <c r="N32" s="7"/>
      <c r="O32" s="7"/>
      <c r="P32" s="7"/>
    </row>
    <row r="33" spans="1:16" ht="15.75" thickBot="1" x14ac:dyDescent="0.3">
      <c r="A33" s="1">
        <f t="shared" si="2"/>
        <v>32</v>
      </c>
      <c r="B33" s="1">
        <v>0.6</v>
      </c>
      <c r="C33" s="1">
        <f t="shared" si="0"/>
        <v>-9.9999999999999978E-2</v>
      </c>
      <c r="D33" s="1">
        <f t="shared" si="1"/>
        <v>9.999999999999995E-3</v>
      </c>
      <c r="L33" s="4">
        <v>0.77</v>
      </c>
      <c r="M33" s="6">
        <v>13</v>
      </c>
      <c r="N33" s="6">
        <v>1.4</v>
      </c>
      <c r="O33" s="6">
        <v>0.86</v>
      </c>
      <c r="P33" s="6">
        <v>1.2869999999999999</v>
      </c>
    </row>
    <row r="34" spans="1:16" ht="15.75" thickBot="1" x14ac:dyDescent="0.3">
      <c r="A34" s="1">
        <f t="shared" si="2"/>
        <v>33</v>
      </c>
      <c r="B34" s="1">
        <v>0.7</v>
      </c>
      <c r="C34" s="1">
        <f t="shared" si="0"/>
        <v>0</v>
      </c>
      <c r="D34" s="1">
        <f t="shared" si="1"/>
        <v>0</v>
      </c>
      <c r="L34" s="4">
        <v>0.95</v>
      </c>
      <c r="M34" s="7"/>
      <c r="N34" s="7"/>
      <c r="O34" s="7"/>
      <c r="P34" s="7"/>
    </row>
    <row r="35" spans="1:16" ht="15.75" thickBot="1" x14ac:dyDescent="0.3">
      <c r="A35" s="1">
        <f t="shared" si="2"/>
        <v>34</v>
      </c>
      <c r="B35" s="1">
        <v>0.6</v>
      </c>
      <c r="C35" s="1">
        <f t="shared" si="0"/>
        <v>-9.9999999999999978E-2</v>
      </c>
      <c r="D35" s="1">
        <f t="shared" si="1"/>
        <v>9.999999999999995E-3</v>
      </c>
      <c r="L35" s="4">
        <v>0.96</v>
      </c>
      <c r="M35" s="6">
        <v>7</v>
      </c>
      <c r="N35" s="6">
        <v>0.7</v>
      </c>
      <c r="O35" s="6">
        <v>1.05</v>
      </c>
      <c r="P35" s="6">
        <v>0.60699999999999998</v>
      </c>
    </row>
    <row r="36" spans="1:16" ht="15.75" thickBot="1" x14ac:dyDescent="0.3">
      <c r="A36" s="1">
        <f t="shared" si="2"/>
        <v>35</v>
      </c>
      <c r="B36" s="1">
        <v>0.8</v>
      </c>
      <c r="C36" s="1">
        <f t="shared" si="0"/>
        <v>0.10000000000000009</v>
      </c>
      <c r="D36" s="1">
        <f t="shared" si="1"/>
        <v>1.0000000000000018E-2</v>
      </c>
      <c r="L36" s="4">
        <v>1.1399999999999999</v>
      </c>
      <c r="M36" s="7"/>
      <c r="N36" s="7"/>
      <c r="O36" s="7"/>
      <c r="P36" s="7"/>
    </row>
    <row r="37" spans="1:16" ht="15.75" thickBot="1" x14ac:dyDescent="0.3">
      <c r="A37" s="1">
        <f t="shared" si="2"/>
        <v>36</v>
      </c>
      <c r="B37" s="1">
        <v>0.8</v>
      </c>
      <c r="C37" s="1">
        <f t="shared" si="0"/>
        <v>0.10000000000000009</v>
      </c>
      <c r="D37" s="1">
        <f t="shared" si="1"/>
        <v>1.0000000000000018E-2</v>
      </c>
      <c r="L37" s="4">
        <v>1.1499999999999999</v>
      </c>
      <c r="M37" s="6">
        <v>0</v>
      </c>
      <c r="N37" s="6">
        <v>0</v>
      </c>
      <c r="O37" s="6">
        <v>1.24</v>
      </c>
      <c r="P37" s="6">
        <v>0.16300000000000001</v>
      </c>
    </row>
    <row r="38" spans="1:16" ht="15.75" thickBot="1" x14ac:dyDescent="0.3">
      <c r="A38" s="1">
        <f t="shared" si="2"/>
        <v>37</v>
      </c>
      <c r="B38" s="1">
        <v>0.5</v>
      </c>
      <c r="C38" s="1">
        <f t="shared" si="0"/>
        <v>-0.19999999999999996</v>
      </c>
      <c r="D38" s="1">
        <f t="shared" si="1"/>
        <v>3.999999999999998E-2</v>
      </c>
      <c r="L38" s="4">
        <v>1.33</v>
      </c>
      <c r="M38" s="7"/>
      <c r="N38" s="7"/>
      <c r="O38" s="7"/>
      <c r="P38" s="7"/>
    </row>
    <row r="39" spans="1:16" ht="15.75" thickBot="1" x14ac:dyDescent="0.3">
      <c r="A39" s="1">
        <f t="shared" si="2"/>
        <v>38</v>
      </c>
      <c r="B39" s="1">
        <v>0.8</v>
      </c>
      <c r="C39" s="1">
        <f t="shared" si="0"/>
        <v>0.10000000000000009</v>
      </c>
      <c r="D39" s="1">
        <f t="shared" si="1"/>
        <v>1.0000000000000018E-2</v>
      </c>
      <c r="L39" s="4">
        <v>1.34</v>
      </c>
      <c r="M39" s="6">
        <v>1</v>
      </c>
      <c r="N39" s="6">
        <v>0.1</v>
      </c>
      <c r="O39" s="6">
        <v>1.42</v>
      </c>
      <c r="P39" s="6">
        <v>2.8000000000000001E-2</v>
      </c>
    </row>
    <row r="40" spans="1:16" ht="15.75" thickBot="1" x14ac:dyDescent="0.3">
      <c r="A40" s="1">
        <f t="shared" si="2"/>
        <v>39</v>
      </c>
      <c r="B40" s="1">
        <v>0.75</v>
      </c>
      <c r="C40" s="1">
        <f t="shared" si="0"/>
        <v>5.0000000000000044E-2</v>
      </c>
      <c r="D40" s="1">
        <f t="shared" si="1"/>
        <v>2.5000000000000044E-3</v>
      </c>
      <c r="L40" s="4">
        <v>1.5</v>
      </c>
      <c r="M40" s="7"/>
      <c r="N40" s="7"/>
      <c r="O40" s="7"/>
      <c r="P40" s="7"/>
    </row>
    <row r="41" spans="1:16" x14ac:dyDescent="0.25">
      <c r="A41" s="1">
        <f t="shared" si="2"/>
        <v>40</v>
      </c>
      <c r="B41" s="1">
        <v>0.6</v>
      </c>
      <c r="C41" s="1">
        <f t="shared" si="0"/>
        <v>-9.9999999999999978E-2</v>
      </c>
      <c r="D41" s="1">
        <f t="shared" si="1"/>
        <v>9.999999999999995E-3</v>
      </c>
      <c r="L41" s="5"/>
    </row>
    <row r="42" spans="1:16" x14ac:dyDescent="0.25">
      <c r="A42" s="1">
        <f t="shared" si="2"/>
        <v>41</v>
      </c>
      <c r="B42" s="1">
        <v>1</v>
      </c>
      <c r="C42" s="1">
        <f t="shared" si="0"/>
        <v>0.30000000000000004</v>
      </c>
      <c r="D42" s="1">
        <f t="shared" si="1"/>
        <v>9.0000000000000024E-2</v>
      </c>
    </row>
    <row r="43" spans="1:16" x14ac:dyDescent="0.25">
      <c r="A43" s="1">
        <f t="shared" si="2"/>
        <v>42</v>
      </c>
      <c r="B43" s="1">
        <v>0.6</v>
      </c>
      <c r="C43" s="1">
        <f t="shared" si="0"/>
        <v>-9.9999999999999978E-2</v>
      </c>
      <c r="D43" s="1">
        <f t="shared" si="1"/>
        <v>9.999999999999995E-3</v>
      </c>
      <c r="I43">
        <v>0.28999999999999998</v>
      </c>
      <c r="J43">
        <v>0.42699999999999999</v>
      </c>
    </row>
    <row r="44" spans="1:16" x14ac:dyDescent="0.25">
      <c r="A44" s="1">
        <f t="shared" si="2"/>
        <v>43</v>
      </c>
      <c r="B44" s="1">
        <v>0.95</v>
      </c>
      <c r="C44" s="1">
        <f t="shared" si="0"/>
        <v>0.25</v>
      </c>
      <c r="D44" s="1">
        <f t="shared" si="1"/>
        <v>6.25E-2</v>
      </c>
      <c r="I44">
        <v>0.48</v>
      </c>
      <c r="J44">
        <v>1.079</v>
      </c>
      <c r="L44">
        <v>1.8</v>
      </c>
    </row>
    <row r="45" spans="1:16" x14ac:dyDescent="0.25">
      <c r="A45" s="1">
        <f t="shared" si="2"/>
        <v>44</v>
      </c>
      <c r="B45" s="1">
        <v>0.85</v>
      </c>
      <c r="C45" s="1">
        <f t="shared" si="0"/>
        <v>0.15000000000000002</v>
      </c>
      <c r="D45" s="1">
        <f t="shared" si="1"/>
        <v>2.2500000000000006E-2</v>
      </c>
      <c r="I45">
        <v>0.67</v>
      </c>
      <c r="J45">
        <v>1.5589999999999999</v>
      </c>
      <c r="L45">
        <v>1.8</v>
      </c>
    </row>
    <row r="46" spans="1:16" x14ac:dyDescent="0.25">
      <c r="A46" s="1">
        <f t="shared" si="2"/>
        <v>45</v>
      </c>
      <c r="B46" s="1">
        <v>0.5</v>
      </c>
      <c r="C46" s="1">
        <f t="shared" si="0"/>
        <v>-0.19999999999999996</v>
      </c>
      <c r="D46" s="1">
        <f t="shared" si="1"/>
        <v>3.999999999999998E-2</v>
      </c>
      <c r="I46">
        <v>0.7</v>
      </c>
      <c r="J46">
        <v>1.57</v>
      </c>
      <c r="L46">
        <v>1.8</v>
      </c>
    </row>
    <row r="47" spans="1:16" x14ac:dyDescent="0.25">
      <c r="A47" s="1">
        <f t="shared" si="2"/>
        <v>46</v>
      </c>
      <c r="B47" s="1">
        <v>0.45</v>
      </c>
      <c r="C47" s="1">
        <f t="shared" si="0"/>
        <v>-0.24999999999999994</v>
      </c>
      <c r="D47" s="1">
        <f t="shared" si="1"/>
        <v>6.2499999999999972E-2</v>
      </c>
      <c r="I47">
        <v>0.86</v>
      </c>
      <c r="J47">
        <v>1.2869999999999999</v>
      </c>
      <c r="L47">
        <v>1.8</v>
      </c>
    </row>
    <row r="48" spans="1:16" x14ac:dyDescent="0.25">
      <c r="A48" s="1">
        <f t="shared" si="2"/>
        <v>47</v>
      </c>
      <c r="B48" s="1">
        <v>0.45</v>
      </c>
      <c r="C48" s="1">
        <f t="shared" si="0"/>
        <v>-0.24999999999999994</v>
      </c>
      <c r="D48" s="1">
        <f t="shared" si="1"/>
        <v>6.2499999999999972E-2</v>
      </c>
      <c r="I48">
        <v>1.05</v>
      </c>
      <c r="J48">
        <v>0.60699999999999998</v>
      </c>
      <c r="L48">
        <v>1.8</v>
      </c>
    </row>
    <row r="49" spans="1:12" x14ac:dyDescent="0.25">
      <c r="A49" s="1">
        <f t="shared" si="2"/>
        <v>48</v>
      </c>
      <c r="B49" s="1">
        <v>0.45</v>
      </c>
      <c r="C49" s="1">
        <f t="shared" si="0"/>
        <v>-0.24999999999999994</v>
      </c>
      <c r="D49" s="1">
        <f t="shared" si="1"/>
        <v>6.2499999999999972E-2</v>
      </c>
      <c r="I49">
        <v>1.24</v>
      </c>
      <c r="J49">
        <v>0.16300000000000001</v>
      </c>
      <c r="L49">
        <v>1.8</v>
      </c>
    </row>
    <row r="50" spans="1:12" x14ac:dyDescent="0.25">
      <c r="A50" s="1">
        <f t="shared" si="2"/>
        <v>49</v>
      </c>
      <c r="B50" s="1">
        <v>0.55000000000000004</v>
      </c>
      <c r="C50" s="1">
        <f t="shared" si="0"/>
        <v>-0.14999999999999991</v>
      </c>
      <c r="D50" s="1">
        <f t="shared" si="1"/>
        <v>2.2499999999999975E-2</v>
      </c>
      <c r="I50">
        <v>1.42</v>
      </c>
      <c r="J50">
        <v>2.8000000000000001E-2</v>
      </c>
      <c r="L50">
        <v>1.8</v>
      </c>
    </row>
    <row r="51" spans="1:12" x14ac:dyDescent="0.25">
      <c r="A51" s="1">
        <f t="shared" si="2"/>
        <v>50</v>
      </c>
      <c r="B51" s="1">
        <v>0.7</v>
      </c>
      <c r="C51" s="1">
        <f t="shared" si="0"/>
        <v>0</v>
      </c>
      <c r="D51" s="1">
        <f t="shared" si="1"/>
        <v>0</v>
      </c>
      <c r="L51">
        <v>1.8</v>
      </c>
    </row>
    <row r="52" spans="1:12" x14ac:dyDescent="0.25">
      <c r="F52" s="2"/>
    </row>
  </sheetData>
  <mergeCells count="28">
    <mergeCell ref="M39:M40"/>
    <mergeCell ref="N39:N40"/>
    <mergeCell ref="O39:O40"/>
    <mergeCell ref="P39:P40"/>
    <mergeCell ref="M35:M36"/>
    <mergeCell ref="N35:N36"/>
    <mergeCell ref="O35:O36"/>
    <mergeCell ref="P35:P36"/>
    <mergeCell ref="M37:M38"/>
    <mergeCell ref="N37:N38"/>
    <mergeCell ref="O37:O38"/>
    <mergeCell ref="P37:P38"/>
    <mergeCell ref="M31:M32"/>
    <mergeCell ref="N31:N32"/>
    <mergeCell ref="O31:O32"/>
    <mergeCell ref="P31:P32"/>
    <mergeCell ref="M33:M34"/>
    <mergeCell ref="N33:N34"/>
    <mergeCell ref="O33:O34"/>
    <mergeCell ref="P33:P34"/>
    <mergeCell ref="M27:M28"/>
    <mergeCell ref="N27:N28"/>
    <mergeCell ref="O27:O28"/>
    <mergeCell ref="P27:P28"/>
    <mergeCell ref="M29:M30"/>
    <mergeCell ref="N29:N30"/>
    <mergeCell ref="O29:O30"/>
    <mergeCell ref="P29:P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ExcaliBBur Velichaishiy</dc:creator>
  <cp:lastModifiedBy>ExcaliBBur Velichaishiy</cp:lastModifiedBy>
  <dcterms:created xsi:type="dcterms:W3CDTF">2022-02-22T19:09:07Z</dcterms:created>
  <dcterms:modified xsi:type="dcterms:W3CDTF">2022-03-04T20:20:17Z</dcterms:modified>
</cp:coreProperties>
</file>