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only_labs_java\physics\lab1.04\"/>
    </mc:Choice>
  </mc:AlternateContent>
  <xr:revisionPtr revIDLastSave="0" documentId="13_ncr:1_{68E8E2B2-F926-481F-AB72-5B2D6AFAF4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38" i="1"/>
  <c r="D39" i="1"/>
  <c r="D40" i="1"/>
  <c r="D41" i="1"/>
  <c r="D42" i="1"/>
  <c r="D43" i="1"/>
  <c r="D44" i="1"/>
  <c r="D33" i="1"/>
  <c r="C44" i="1"/>
  <c r="C39" i="1"/>
  <c r="C37" i="1"/>
  <c r="C36" i="1"/>
  <c r="C38" i="1"/>
  <c r="C35" i="1"/>
  <c r="S8" i="1"/>
  <c r="S7" i="1"/>
  <c r="S19" i="1"/>
  <c r="S10" i="1"/>
  <c r="S9" i="1"/>
  <c r="W9" i="1" s="1"/>
  <c r="S15" i="1"/>
  <c r="S14" i="1"/>
  <c r="Y14" i="1" s="1"/>
  <c r="S22" i="1"/>
  <c r="S28" i="1"/>
  <c r="Y28" i="1" s="1"/>
  <c r="Y4" i="1"/>
  <c r="Y5" i="1"/>
  <c r="Y6" i="1"/>
  <c r="Y9" i="1"/>
  <c r="Y22" i="1"/>
  <c r="Y23" i="1"/>
  <c r="Y24" i="1"/>
  <c r="Y25" i="1"/>
  <c r="Y27" i="1"/>
  <c r="Y54" i="1"/>
  <c r="X4" i="1"/>
  <c r="X5" i="1"/>
  <c r="X6" i="1"/>
  <c r="X9" i="1"/>
  <c r="X14" i="1"/>
  <c r="X22" i="1"/>
  <c r="X23" i="1"/>
  <c r="X24" i="1"/>
  <c r="X26" i="1"/>
  <c r="X28" i="1"/>
  <c r="W4" i="1"/>
  <c r="W5" i="1"/>
  <c r="W6" i="1"/>
  <c r="W14" i="1"/>
  <c r="W22" i="1"/>
  <c r="W23" i="1"/>
  <c r="W25" i="1"/>
  <c r="W27" i="1"/>
  <c r="W28" i="1"/>
  <c r="V4" i="1"/>
  <c r="V5" i="1"/>
  <c r="V6" i="1"/>
  <c r="V9" i="1"/>
  <c r="V14" i="1"/>
  <c r="V22" i="1"/>
  <c r="V24" i="1"/>
  <c r="V26" i="1"/>
  <c r="V28" i="1"/>
  <c r="U4" i="1"/>
  <c r="U5" i="1"/>
  <c r="U6" i="1"/>
  <c r="U9" i="1"/>
  <c r="U14" i="1"/>
  <c r="U15" i="1"/>
  <c r="U22" i="1"/>
  <c r="U23" i="1"/>
  <c r="U25" i="1"/>
  <c r="U27" i="1"/>
  <c r="U28" i="1"/>
  <c r="U29" i="1"/>
  <c r="T4" i="1"/>
  <c r="T5" i="1"/>
  <c r="T6" i="1"/>
  <c r="T9" i="1"/>
  <c r="T14" i="1"/>
  <c r="T15" i="1"/>
  <c r="T16" i="1"/>
  <c r="T22" i="1"/>
  <c r="T23" i="1"/>
  <c r="T25" i="1"/>
  <c r="T26" i="1"/>
  <c r="T28" i="1"/>
  <c r="T30" i="1"/>
  <c r="T35" i="1"/>
  <c r="S6" i="1"/>
  <c r="S5" i="1"/>
  <c r="Y3" i="1"/>
  <c r="X3" i="1"/>
  <c r="W3" i="1"/>
  <c r="V3" i="1"/>
  <c r="U3" i="1"/>
  <c r="T3" i="1"/>
  <c r="E28" i="1"/>
  <c r="F28" i="1"/>
  <c r="G28" i="1"/>
  <c r="H28" i="1"/>
  <c r="I28" i="1"/>
  <c r="D28" i="1"/>
  <c r="D30" i="1"/>
  <c r="K29" i="1"/>
  <c r="C28" i="1" a="1"/>
  <c r="C28" i="1" s="1"/>
  <c r="C40" i="1" l="1"/>
  <c r="C41" i="1" s="1"/>
  <c r="C42" i="1" s="1"/>
  <c r="C43" i="1" s="1"/>
  <c r="W8" i="1"/>
  <c r="U8" i="1"/>
  <c r="Y8" i="1"/>
  <c r="V8" i="1"/>
  <c r="T8" i="1"/>
  <c r="X8" i="1"/>
  <c r="X7" i="1"/>
  <c r="V7" i="1"/>
  <c r="T7" i="1"/>
  <c r="U7" i="1"/>
  <c r="W7" i="1"/>
  <c r="Y7" i="1"/>
  <c r="U16" i="1"/>
  <c r="Y19" i="1"/>
  <c r="X19" i="1"/>
  <c r="W19" i="1"/>
  <c r="X18" i="1"/>
  <c r="Y18" i="1"/>
  <c r="V19" i="1"/>
  <c r="W18" i="1"/>
  <c r="X17" i="1"/>
  <c r="Y17" i="1"/>
  <c r="V18" i="1"/>
  <c r="W17" i="1"/>
  <c r="X16" i="1"/>
  <c r="Y16" i="1"/>
  <c r="T19" i="1"/>
  <c r="U19" i="1"/>
  <c r="V17" i="1"/>
  <c r="W16" i="1"/>
  <c r="X15" i="1"/>
  <c r="Y15" i="1"/>
  <c r="T18" i="1"/>
  <c r="U18" i="1"/>
  <c r="V16" i="1"/>
  <c r="W15" i="1"/>
  <c r="T17" i="1"/>
  <c r="U17" i="1"/>
  <c r="V15" i="1"/>
  <c r="T27" i="1"/>
  <c r="T24" i="1"/>
  <c r="U26" i="1"/>
  <c r="V27" i="1"/>
  <c r="U24" i="1"/>
  <c r="V25" i="1"/>
  <c r="W26" i="1"/>
  <c r="X27" i="1"/>
  <c r="V23" i="1"/>
  <c r="W24" i="1"/>
  <c r="X25" i="1"/>
  <c r="Y26" i="1"/>
  <c r="T59" i="1"/>
  <c r="V33" i="1"/>
  <c r="T55" i="1"/>
  <c r="T43" i="1"/>
  <c r="T31" i="1"/>
  <c r="U54" i="1"/>
  <c r="U42" i="1"/>
  <c r="U30" i="1"/>
  <c r="V53" i="1"/>
  <c r="V41" i="1"/>
  <c r="V29" i="1"/>
  <c r="W52" i="1"/>
  <c r="W40" i="1"/>
  <c r="X51" i="1"/>
  <c r="X39" i="1"/>
  <c r="Y62" i="1"/>
  <c r="Y50" i="1"/>
  <c r="Y38" i="1"/>
  <c r="U53" i="1"/>
  <c r="V52" i="1"/>
  <c r="W39" i="1"/>
  <c r="X62" i="1"/>
  <c r="X50" i="1"/>
  <c r="X38" i="1"/>
  <c r="Y61" i="1"/>
  <c r="T53" i="1"/>
  <c r="T41" i="1"/>
  <c r="T29" i="1"/>
  <c r="U52" i="1"/>
  <c r="U40" i="1"/>
  <c r="V51" i="1"/>
  <c r="V39" i="1"/>
  <c r="W62" i="1"/>
  <c r="W50" i="1"/>
  <c r="W38" i="1"/>
  <c r="X61" i="1"/>
  <c r="X49" i="1"/>
  <c r="X37" i="1"/>
  <c r="Y60" i="1"/>
  <c r="Y48" i="1"/>
  <c r="Y36" i="1"/>
  <c r="T42" i="1"/>
  <c r="W51" i="1"/>
  <c r="Y49" i="1"/>
  <c r="T52" i="1"/>
  <c r="T40" i="1"/>
  <c r="U51" i="1"/>
  <c r="U39" i="1"/>
  <c r="V62" i="1"/>
  <c r="V50" i="1"/>
  <c r="V38" i="1"/>
  <c r="W61" i="1"/>
  <c r="W49" i="1"/>
  <c r="W37" i="1"/>
  <c r="X60" i="1"/>
  <c r="X48" i="1"/>
  <c r="X36" i="1"/>
  <c r="Y59" i="1"/>
  <c r="Y47" i="1"/>
  <c r="Y35" i="1"/>
  <c r="T51" i="1"/>
  <c r="U50" i="1"/>
  <c r="V61" i="1"/>
  <c r="V49" i="1"/>
  <c r="V37" i="1"/>
  <c r="W60" i="1"/>
  <c r="W48" i="1"/>
  <c r="W36" i="1"/>
  <c r="X59" i="1"/>
  <c r="X47" i="1"/>
  <c r="X35" i="1"/>
  <c r="Y58" i="1"/>
  <c r="Y46" i="1"/>
  <c r="Y34" i="1"/>
  <c r="T54" i="1"/>
  <c r="V40" i="1"/>
  <c r="Y37" i="1"/>
  <c r="T39" i="1"/>
  <c r="T62" i="1"/>
  <c r="T50" i="1"/>
  <c r="T38" i="1"/>
  <c r="U61" i="1"/>
  <c r="U49" i="1"/>
  <c r="U37" i="1"/>
  <c r="V60" i="1"/>
  <c r="V48" i="1"/>
  <c r="V36" i="1"/>
  <c r="W59" i="1"/>
  <c r="W47" i="1"/>
  <c r="W35" i="1"/>
  <c r="X58" i="1"/>
  <c r="X46" i="1"/>
  <c r="X34" i="1"/>
  <c r="Y57" i="1"/>
  <c r="Y45" i="1"/>
  <c r="Y33" i="1"/>
  <c r="U38" i="1"/>
  <c r="T61" i="1"/>
  <c r="T49" i="1"/>
  <c r="T37" i="1"/>
  <c r="U60" i="1"/>
  <c r="U48" i="1"/>
  <c r="U36" i="1"/>
  <c r="V59" i="1"/>
  <c r="V47" i="1"/>
  <c r="V35" i="1"/>
  <c r="W58" i="1"/>
  <c r="W46" i="1"/>
  <c r="W34" i="1"/>
  <c r="X57" i="1"/>
  <c r="X45" i="1"/>
  <c r="X33" i="1"/>
  <c r="Y56" i="1"/>
  <c r="Y44" i="1"/>
  <c r="Y32" i="1"/>
  <c r="U41" i="1"/>
  <c r="T60" i="1"/>
  <c r="T48" i="1"/>
  <c r="T36" i="1"/>
  <c r="U59" i="1"/>
  <c r="U47" i="1"/>
  <c r="U35" i="1"/>
  <c r="V58" i="1"/>
  <c r="V46" i="1"/>
  <c r="V34" i="1"/>
  <c r="W57" i="1"/>
  <c r="W45" i="1"/>
  <c r="W33" i="1"/>
  <c r="X56" i="1"/>
  <c r="X44" i="1"/>
  <c r="X32" i="1"/>
  <c r="Y55" i="1"/>
  <c r="Y43" i="1"/>
  <c r="Y31" i="1"/>
  <c r="U46" i="1"/>
  <c r="V57" i="1"/>
  <c r="W44" i="1"/>
  <c r="X55" i="1"/>
  <c r="X31" i="1"/>
  <c r="Y30" i="1"/>
  <c r="T58" i="1"/>
  <c r="T46" i="1"/>
  <c r="T34" i="1"/>
  <c r="U57" i="1"/>
  <c r="U45" i="1"/>
  <c r="U33" i="1"/>
  <c r="V56" i="1"/>
  <c r="V44" i="1"/>
  <c r="V32" i="1"/>
  <c r="W55" i="1"/>
  <c r="W43" i="1"/>
  <c r="W31" i="1"/>
  <c r="X54" i="1"/>
  <c r="X42" i="1"/>
  <c r="X30" i="1"/>
  <c r="Y53" i="1"/>
  <c r="Y41" i="1"/>
  <c r="Y29" i="1"/>
  <c r="U58" i="1"/>
  <c r="V45" i="1"/>
  <c r="W56" i="1"/>
  <c r="T57" i="1"/>
  <c r="T45" i="1"/>
  <c r="T33" i="1"/>
  <c r="U56" i="1"/>
  <c r="U44" i="1"/>
  <c r="U32" i="1"/>
  <c r="V55" i="1"/>
  <c r="V43" i="1"/>
  <c r="V31" i="1"/>
  <c r="W54" i="1"/>
  <c r="W42" i="1"/>
  <c r="W30" i="1"/>
  <c r="X53" i="1"/>
  <c r="X41" i="1"/>
  <c r="X29" i="1"/>
  <c r="Y52" i="1"/>
  <c r="Y40" i="1"/>
  <c r="T47" i="1"/>
  <c r="U34" i="1"/>
  <c r="W32" i="1"/>
  <c r="X43" i="1"/>
  <c r="Y42" i="1"/>
  <c r="T56" i="1"/>
  <c r="T44" i="1"/>
  <c r="T32" i="1"/>
  <c r="U55" i="1"/>
  <c r="U43" i="1"/>
  <c r="U31" i="1"/>
  <c r="V54" i="1"/>
  <c r="V42" i="1"/>
  <c r="V30" i="1"/>
  <c r="W53" i="1"/>
  <c r="W41" i="1"/>
  <c r="W29" i="1"/>
  <c r="X52" i="1"/>
  <c r="X40" i="1"/>
  <c r="Y51" i="1"/>
  <c r="Y39" i="1"/>
  <c r="S11" i="1" l="1"/>
  <c r="W10" i="1"/>
  <c r="T10" i="1"/>
  <c r="Y10" i="1"/>
  <c r="V10" i="1"/>
  <c r="U10" i="1"/>
  <c r="X10" i="1"/>
  <c r="S12" i="1" l="1"/>
  <c r="X11" i="1"/>
  <c r="W11" i="1"/>
  <c r="T11" i="1"/>
  <c r="Y11" i="1"/>
  <c r="V11" i="1"/>
  <c r="U11" i="1"/>
  <c r="S13" i="1" l="1"/>
  <c r="Y12" i="1"/>
  <c r="X12" i="1"/>
  <c r="W12" i="1"/>
  <c r="T12" i="1"/>
  <c r="V12" i="1"/>
  <c r="U12" i="1"/>
  <c r="S16" i="1" l="1"/>
  <c r="S17" i="1" s="1"/>
  <c r="S18" i="1" s="1"/>
  <c r="S20" i="1" s="1"/>
  <c r="Y13" i="1"/>
  <c r="X13" i="1"/>
  <c r="W13" i="1"/>
  <c r="U13" i="1"/>
  <c r="T13" i="1"/>
  <c r="V13" i="1"/>
  <c r="S21" i="1" l="1"/>
  <c r="X20" i="1"/>
  <c r="W20" i="1"/>
  <c r="T20" i="1"/>
  <c r="Y20" i="1"/>
  <c r="U20" i="1"/>
  <c r="V20" i="1"/>
  <c r="S23" i="1" l="1"/>
  <c r="S24" i="1" s="1"/>
  <c r="S25" i="1" s="1"/>
  <c r="S26" i="1" s="1"/>
  <c r="S27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U62" i="1" s="1"/>
  <c r="T21" i="1"/>
  <c r="W21" i="1"/>
  <c r="V21" i="1"/>
  <c r="U21" i="1"/>
  <c r="Y21" i="1"/>
  <c r="X21" i="1"/>
  <c r="E22" i="1" l="1"/>
  <c r="D22" i="1" a="1"/>
  <c r="D22" i="1" s="1"/>
  <c r="Q19" i="1"/>
  <c r="P19" i="1"/>
  <c r="O19" i="1"/>
  <c r="N19" i="1"/>
  <c r="M19" i="1"/>
  <c r="L19" i="1"/>
  <c r="Q18" i="1"/>
  <c r="P18" i="1"/>
  <c r="O18" i="1"/>
  <c r="N18" i="1"/>
  <c r="M18" i="1"/>
  <c r="L18" i="1"/>
  <c r="L5" i="1" l="1"/>
  <c r="L20" i="1"/>
  <c r="K26" i="1"/>
  <c r="L23" i="1"/>
  <c r="E25" i="1"/>
  <c r="D25" i="1" a="1"/>
  <c r="D25" i="1" s="1"/>
  <c r="Q22" i="1"/>
  <c r="Q23" i="1" s="1"/>
  <c r="M22" i="1"/>
  <c r="M23" i="1" s="1"/>
  <c r="N22" i="1"/>
  <c r="N23" i="1" s="1"/>
  <c r="O22" i="1"/>
  <c r="O23" i="1" s="1"/>
  <c r="P22" i="1"/>
  <c r="P23" i="1" s="1"/>
  <c r="L22" i="1"/>
  <c r="H7" i="1"/>
  <c r="Q4" i="1" s="1"/>
  <c r="Q5" i="1" s="1"/>
  <c r="C7" i="1"/>
  <c r="L4" i="1" s="1"/>
  <c r="C19" i="1"/>
  <c r="L13" i="1" s="1"/>
  <c r="L15" i="1" s="1"/>
  <c r="D19" i="1"/>
  <c r="M13" i="1" s="1"/>
  <c r="M14" i="1" s="1"/>
  <c r="E19" i="1"/>
  <c r="N13" i="1" s="1"/>
  <c r="F19" i="1"/>
  <c r="O13" i="1" s="1"/>
  <c r="O15" i="1" s="1"/>
  <c r="G19" i="1"/>
  <c r="P13" i="1" s="1"/>
  <c r="H19" i="1"/>
  <c r="Q13" i="1" s="1"/>
  <c r="D15" i="1"/>
  <c r="M10" i="1" s="1"/>
  <c r="E15" i="1"/>
  <c r="N10" i="1" s="1"/>
  <c r="F15" i="1"/>
  <c r="O10" i="1" s="1"/>
  <c r="G15" i="1"/>
  <c r="P10" i="1" s="1"/>
  <c r="H15" i="1"/>
  <c r="Q10" i="1" s="1"/>
  <c r="H11" i="1"/>
  <c r="Q7" i="1" s="1"/>
  <c r="Q9" i="1" s="1"/>
  <c r="D11" i="1"/>
  <c r="M7" i="1" s="1"/>
  <c r="M8" i="1" s="1"/>
  <c r="E11" i="1"/>
  <c r="N7" i="1" s="1"/>
  <c r="N9" i="1" s="1"/>
  <c r="F11" i="1"/>
  <c r="O7" i="1" s="1"/>
  <c r="G11" i="1"/>
  <c r="P7" i="1" s="1"/>
  <c r="C15" i="1"/>
  <c r="L10" i="1" s="1"/>
  <c r="C11" i="1"/>
  <c r="L7" i="1" s="1"/>
  <c r="G7" i="1"/>
  <c r="P4" i="1" s="1"/>
  <c r="F7" i="1"/>
  <c r="O4" i="1" s="1"/>
  <c r="O6" i="1" s="1"/>
  <c r="E7" i="1"/>
  <c r="N4" i="1" s="1"/>
  <c r="D7" i="1"/>
  <c r="M4" i="1" s="1"/>
  <c r="M5" i="1" s="1"/>
  <c r="L21" i="1" l="1"/>
  <c r="Q11" i="1"/>
  <c r="Q12" i="1"/>
  <c r="O8" i="1"/>
  <c r="O9" i="1"/>
  <c r="M9" i="1"/>
  <c r="P11" i="1"/>
  <c r="P12" i="1"/>
  <c r="N6" i="1"/>
  <c r="N5" i="1"/>
  <c r="O12" i="1"/>
  <c r="O11" i="1"/>
  <c r="N11" i="1"/>
  <c r="N12" i="1"/>
  <c r="M12" i="1"/>
  <c r="M11" i="1"/>
  <c r="P15" i="1"/>
  <c r="P14" i="1"/>
  <c r="N15" i="1"/>
  <c r="N14" i="1"/>
  <c r="P5" i="1"/>
  <c r="P6" i="1"/>
  <c r="L9" i="1"/>
  <c r="L8" i="1"/>
  <c r="Q15" i="1"/>
  <c r="Q14" i="1"/>
  <c r="L11" i="1"/>
  <c r="L12" i="1"/>
  <c r="P9" i="1"/>
  <c r="P8" i="1"/>
  <c r="L6" i="1"/>
  <c r="M15" i="1"/>
  <c r="O5" i="1"/>
  <c r="L14" i="1"/>
  <c r="M6" i="1"/>
  <c r="Q6" i="1"/>
  <c r="N8" i="1"/>
  <c r="O14" i="1"/>
  <c r="Q8" i="1"/>
  <c r="Q20" i="1" l="1"/>
  <c r="Q21" i="1" s="1"/>
  <c r="M20" i="1"/>
  <c r="N20" i="1"/>
  <c r="N21" i="1" s="1"/>
  <c r="P20" i="1"/>
  <c r="P21" i="1" s="1"/>
  <c r="M21" i="1" l="1"/>
  <c r="O20" i="1"/>
  <c r="O21" i="1" s="1"/>
  <c r="L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<sst xmlns="http://schemas.openxmlformats.org/spreadsheetml/2006/main" count="51" uniqueCount="37">
  <si>
    <t>Масса груза, г</t>
  </si>
  <si>
    <t>1 риска</t>
  </si>
  <si>
    <t>2 риска</t>
  </si>
  <si>
    <t>3 риска</t>
  </si>
  <si>
    <t>4 риска</t>
  </si>
  <si>
    <t>5 риска</t>
  </si>
  <si>
    <t>6 риска</t>
  </si>
  <si>
    <t>Положение утяжелителей</t>
  </si>
  <si>
    <t>267 +/- 1</t>
  </si>
  <si>
    <t>487 +/- 1,5</t>
  </si>
  <si>
    <t>707 +/- 2</t>
  </si>
  <si>
    <t>#</t>
  </si>
  <si>
    <t>927 +/- 2,5</t>
  </si>
  <si>
    <t>m1</t>
  </si>
  <si>
    <t>m2</t>
  </si>
  <si>
    <t>m3</t>
  </si>
  <si>
    <t>m4</t>
  </si>
  <si>
    <t>a</t>
  </si>
  <si>
    <t>epsilon</t>
  </si>
  <si>
    <t>M</t>
  </si>
  <si>
    <t>/bar /eps</t>
  </si>
  <si>
    <t>/bar M</t>
  </si>
  <si>
    <t>I</t>
  </si>
  <si>
    <t>Mтр</t>
  </si>
  <si>
    <t>R</t>
  </si>
  <si>
    <t>R^2</t>
  </si>
  <si>
    <t>m_ут</t>
  </si>
  <si>
    <t>/bar R^2</t>
  </si>
  <si>
    <t>/bar I</t>
  </si>
  <si>
    <t>I_0</t>
  </si>
  <si>
    <t>S \bar t</t>
  </si>
  <si>
    <t>\Delta t</t>
  </si>
  <si>
    <t>d_i</t>
  </si>
  <si>
    <t>sum d_i^2</t>
  </si>
  <si>
    <t>D</t>
  </si>
  <si>
    <t>\bar R^2 ^2</t>
  </si>
  <si>
    <t>\epsilon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</si>
</sst>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2" fontId="0" fillId="0" borderId="0" xfId="0" applyNumberFormat="1" applyFill="1" applyBorder="1"/>
    <xf numFmtId="2" fontId="0" fillId="0" borderId="0" xfId="0" applyNumberFormat="1"/>
    <xf numFmtId="164" fontId="0" fillId="0" borderId="0" xfId="0" applyNumberFormat="1"/>
    <xf numFmtId="2" fontId="0" fillId="0" borderId="1" xfId="0" applyNumberFormat="1" applyFill="1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7" fontId="0" fillId="0" borderId="0" xfId="0" applyNumberFormat="1"/>
    <xf numFmtId="1" fontId="0" fillId="0" borderId="0" xfId="0" applyNumberFormat="1" applyFill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Зависимость </a:t>
            </a:r>
            <a:r>
              <a:rPr lang="en-US"/>
              <a:t>M(eps)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Эксп1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Лист1!$Z$3:$Z$62</c:f>
              <c:numCache>
                <c:formatCode>General</c:formatCode>
                <c:ptCount val="60"/>
                <c:pt idx="12">
                  <c:v>0.06</c:v>
                </c:pt>
                <c:pt idx="25">
                  <c:v>0.11</c:v>
                </c:pt>
                <c:pt idx="42">
                  <c:v>0.16</c:v>
                </c:pt>
                <c:pt idx="57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97-4CE2-A5A2-2B8DE3945F4C}"/>
            </c:ext>
          </c:extLst>
        </c:ser>
        <c:ser>
          <c:idx val="3"/>
          <c:order val="3"/>
          <c:tx>
            <c:v>Эксп2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Лист1!$AA$3:$AA$62</c:f>
              <c:numCache>
                <c:formatCode>General</c:formatCode>
                <c:ptCount val="60"/>
                <c:pt idx="8">
                  <c:v>0.06</c:v>
                </c:pt>
                <c:pt idx="19">
                  <c:v>0.11</c:v>
                </c:pt>
                <c:pt idx="27">
                  <c:v>0.16</c:v>
                </c:pt>
                <c:pt idx="40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97-4CE2-A5A2-2B8DE3945F4C}"/>
            </c:ext>
          </c:extLst>
        </c:ser>
        <c:ser>
          <c:idx val="5"/>
          <c:order val="5"/>
          <c:tx>
            <c:v>Эксп3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Лист1!$AB$3:$AB$62</c:f>
              <c:numCache>
                <c:formatCode>General</c:formatCode>
                <c:ptCount val="60"/>
                <c:pt idx="5">
                  <c:v>0.06</c:v>
                </c:pt>
                <c:pt idx="11">
                  <c:v>0.11</c:v>
                </c:pt>
                <c:pt idx="20">
                  <c:v>0.16</c:v>
                </c:pt>
                <c:pt idx="26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97-4CE2-A5A2-2B8DE3945F4C}"/>
            </c:ext>
          </c:extLst>
        </c:ser>
        <c:ser>
          <c:idx val="7"/>
          <c:order val="7"/>
          <c:tx>
            <c:v>Эксп4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Лист1!$AC$3:$AC$62</c:f>
              <c:numCache>
                <c:formatCode>General</c:formatCode>
                <c:ptCount val="60"/>
                <c:pt idx="3">
                  <c:v>0.06</c:v>
                </c:pt>
                <c:pt idx="8">
                  <c:v>0.11</c:v>
                </c:pt>
                <c:pt idx="14">
                  <c:v>0.16</c:v>
                </c:pt>
                <c:pt idx="19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97-4CE2-A5A2-2B8DE3945F4C}"/>
            </c:ext>
          </c:extLst>
        </c:ser>
        <c:ser>
          <c:idx val="9"/>
          <c:order val="9"/>
          <c:tx>
            <c:v>Эксп5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Лист1!$AD$3:$AD$62</c:f>
              <c:numCache>
                <c:formatCode>General</c:formatCode>
                <c:ptCount val="60"/>
                <c:pt idx="2">
                  <c:v>0.06</c:v>
                </c:pt>
                <c:pt idx="6">
                  <c:v>0.11</c:v>
                </c:pt>
                <c:pt idx="11">
                  <c:v>0.16</c:v>
                </c:pt>
                <c:pt idx="16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97-4CE2-A5A2-2B8DE3945F4C}"/>
            </c:ext>
          </c:extLst>
        </c:ser>
        <c:ser>
          <c:idx val="11"/>
          <c:order val="11"/>
          <c:tx>
            <c:v>Эксп6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Лист1!$AE$3:$AE$61</c:f>
              <c:numCache>
                <c:formatCode>General</c:formatCode>
                <c:ptCount val="59"/>
                <c:pt idx="1">
                  <c:v>0.06</c:v>
                </c:pt>
                <c:pt idx="4">
                  <c:v>0.11</c:v>
                </c:pt>
                <c:pt idx="8">
                  <c:v>0.16</c:v>
                </c:pt>
                <c:pt idx="11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F97-4CE2-A5A2-2B8DE394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6655"/>
        <c:axId val="1571433743"/>
      </c:scatterChart>
      <c:scatterChart>
        <c:scatterStyle val="smoothMarker"/>
        <c:varyColors val="0"/>
        <c:ser>
          <c:idx val="0"/>
          <c:order val="0"/>
          <c:tx>
            <c:v>Теор1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Лист1!$T$3:$T$62</c:f>
              <c:numCache>
                <c:formatCode>0.000</c:formatCode>
                <c:ptCount val="60"/>
                <c:pt idx="0">
                  <c:v>1.6285622241204722E-2</c:v>
                </c:pt>
                <c:pt idx="1">
                  <c:v>2.8192812627108623E-2</c:v>
                </c:pt>
                <c:pt idx="2">
                  <c:v>3.1368063396682994E-2</c:v>
                </c:pt>
                <c:pt idx="3">
                  <c:v>3.4543314166257368E-2</c:v>
                </c:pt>
                <c:pt idx="4">
                  <c:v>3.8671140166704053E-2</c:v>
                </c:pt>
                <c:pt idx="5">
                  <c:v>4.0893815705406115E-2</c:v>
                </c:pt>
                <c:pt idx="6">
                  <c:v>4.5656691859767673E-2</c:v>
                </c:pt>
                <c:pt idx="7">
                  <c:v>4.7244317244554856E-2</c:v>
                </c:pt>
                <c:pt idx="8">
                  <c:v>5.041956801412923E-2</c:v>
                </c:pt>
                <c:pt idx="9">
                  <c:v>5.3594818783703611E-2</c:v>
                </c:pt>
                <c:pt idx="10">
                  <c:v>5.6770069553277985E-2</c:v>
                </c:pt>
                <c:pt idx="11">
                  <c:v>6.1691708246118256E-2</c:v>
                </c:pt>
                <c:pt idx="12">
                  <c:v>6.3120571092426733E-2</c:v>
                </c:pt>
                <c:pt idx="13">
                  <c:v>6.6295821862001114E-2</c:v>
                </c:pt>
                <c:pt idx="14">
                  <c:v>6.9471072631575481E-2</c:v>
                </c:pt>
                <c:pt idx="15">
                  <c:v>7.2646323401149862E-2</c:v>
                </c:pt>
                <c:pt idx="16">
                  <c:v>7.4868998939851911E-2</c:v>
                </c:pt>
                <c:pt idx="17">
                  <c:v>7.8044249709426278E-2</c:v>
                </c:pt>
                <c:pt idx="18">
                  <c:v>8.1219500479000659E-2</c:v>
                </c:pt>
                <c:pt idx="19">
                  <c:v>8.3600938556181434E-2</c:v>
                </c:pt>
                <c:pt idx="20">
                  <c:v>8.6776189325755815E-2</c:v>
                </c:pt>
                <c:pt idx="21">
                  <c:v>8.9951440095330196E-2</c:v>
                </c:pt>
                <c:pt idx="22">
                  <c:v>9.3126690864904563E-2</c:v>
                </c:pt>
                <c:pt idx="23">
                  <c:v>9.6301941634478944E-2</c:v>
                </c:pt>
                <c:pt idx="24">
                  <c:v>9.9477192404053325E-2</c:v>
                </c:pt>
                <c:pt idx="25">
                  <c:v>0.10281120571210639</c:v>
                </c:pt>
                <c:pt idx="26">
                  <c:v>0.10598645648168077</c:v>
                </c:pt>
                <c:pt idx="27">
                  <c:v>0.10916170725125515</c:v>
                </c:pt>
                <c:pt idx="28">
                  <c:v>0.11233695802082952</c:v>
                </c:pt>
                <c:pt idx="29">
                  <c:v>0.1155122087904039</c:v>
                </c:pt>
                <c:pt idx="30">
                  <c:v>0.11868745955997828</c:v>
                </c:pt>
                <c:pt idx="31">
                  <c:v>0.12186271032955265</c:v>
                </c:pt>
                <c:pt idx="32">
                  <c:v>0.12503796109912702</c:v>
                </c:pt>
                <c:pt idx="33">
                  <c:v>0.12821321186870141</c:v>
                </c:pt>
                <c:pt idx="34">
                  <c:v>0.13138846263827578</c:v>
                </c:pt>
                <c:pt idx="35">
                  <c:v>0.13456371340785017</c:v>
                </c:pt>
                <c:pt idx="36">
                  <c:v>0.13773896417742454</c:v>
                </c:pt>
                <c:pt idx="37">
                  <c:v>0.14091421494699891</c:v>
                </c:pt>
                <c:pt idx="38">
                  <c:v>0.14408946571657327</c:v>
                </c:pt>
                <c:pt idx="39">
                  <c:v>0.14726471648614764</c:v>
                </c:pt>
                <c:pt idx="40">
                  <c:v>0.15043996725572201</c:v>
                </c:pt>
                <c:pt idx="41">
                  <c:v>0.15361521802529637</c:v>
                </c:pt>
                <c:pt idx="42">
                  <c:v>0.15679046879487074</c:v>
                </c:pt>
                <c:pt idx="43">
                  <c:v>0.15996571956444511</c:v>
                </c:pt>
                <c:pt idx="44">
                  <c:v>0.16314097033401945</c:v>
                </c:pt>
                <c:pt idx="45">
                  <c:v>0.16631622110359381</c:v>
                </c:pt>
                <c:pt idx="46">
                  <c:v>0.16949147187316818</c:v>
                </c:pt>
                <c:pt idx="47">
                  <c:v>0.17266672264274255</c:v>
                </c:pt>
                <c:pt idx="48">
                  <c:v>0.17584197341231692</c:v>
                </c:pt>
                <c:pt idx="49">
                  <c:v>0.17901722418189125</c:v>
                </c:pt>
                <c:pt idx="50">
                  <c:v>0.18219247495146562</c:v>
                </c:pt>
                <c:pt idx="51">
                  <c:v>0.18536772572103999</c:v>
                </c:pt>
                <c:pt idx="52">
                  <c:v>0.18854297649061436</c:v>
                </c:pt>
                <c:pt idx="53">
                  <c:v>0.19171822726018872</c:v>
                </c:pt>
                <c:pt idx="54">
                  <c:v>0.19489347802976309</c:v>
                </c:pt>
                <c:pt idx="55">
                  <c:v>0.19806872879933743</c:v>
                </c:pt>
                <c:pt idx="56">
                  <c:v>0.2012439795689118</c:v>
                </c:pt>
                <c:pt idx="57">
                  <c:v>0.20441923033848616</c:v>
                </c:pt>
                <c:pt idx="58">
                  <c:v>0.20759448110806053</c:v>
                </c:pt>
                <c:pt idx="59">
                  <c:v>0.2107697318776349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97-4CE2-A5A2-2B8DE3945F4C}"/>
            </c:ext>
          </c:extLst>
        </c:ser>
        <c:ser>
          <c:idx val="2"/>
          <c:order val="2"/>
          <c:tx>
            <c:v>Теор2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Лист1!$U$3:$U$62</c:f>
              <c:numCache>
                <c:formatCode>0.000</c:formatCode>
                <c:ptCount val="60"/>
                <c:pt idx="0">
                  <c:v>1.1870103981768645E-2</c:v>
                </c:pt>
                <c:pt idx="1">
                  <c:v>2.9434672452072388E-2</c:v>
                </c:pt>
                <c:pt idx="2">
                  <c:v>3.4118557377486716E-2</c:v>
                </c:pt>
                <c:pt idx="3">
                  <c:v>3.8802442302901051E-2</c:v>
                </c:pt>
                <c:pt idx="4">
                  <c:v>4.4891492705939687E-2</c:v>
                </c:pt>
                <c:pt idx="5">
                  <c:v>4.817021215372972E-2</c:v>
                </c:pt>
                <c:pt idx="6">
                  <c:v>5.5196039541851219E-2</c:v>
                </c:pt>
                <c:pt idx="7">
                  <c:v>5.7537982004558383E-2</c:v>
                </c:pt>
                <c:pt idx="8">
                  <c:v>6.2221866929972711E-2</c:v>
                </c:pt>
                <c:pt idx="9">
                  <c:v>6.6905751855387052E-2</c:v>
                </c:pt>
                <c:pt idx="10">
                  <c:v>7.158963678080138E-2</c:v>
                </c:pt>
                <c:pt idx="11">
                  <c:v>7.8849658415193591E-2</c:v>
                </c:pt>
                <c:pt idx="12">
                  <c:v>8.0957406631630049E-2</c:v>
                </c:pt>
                <c:pt idx="13">
                  <c:v>8.5641291557044377E-2</c:v>
                </c:pt>
                <c:pt idx="14">
                  <c:v>9.0325176482458719E-2</c:v>
                </c:pt>
                <c:pt idx="15">
                  <c:v>9.5009061407873061E-2</c:v>
                </c:pt>
                <c:pt idx="16">
                  <c:v>9.8287780855663073E-2</c:v>
                </c:pt>
                <c:pt idx="17">
                  <c:v>0.1029716657810774</c:v>
                </c:pt>
                <c:pt idx="18">
                  <c:v>0.10765555070649173</c:v>
                </c:pt>
                <c:pt idx="19">
                  <c:v>0.11116846440055249</c:v>
                </c:pt>
                <c:pt idx="20">
                  <c:v>0.11585234932596683</c:v>
                </c:pt>
                <c:pt idx="21">
                  <c:v>0.12053623425138116</c:v>
                </c:pt>
                <c:pt idx="22">
                  <c:v>0.12522011917679549</c:v>
                </c:pt>
                <c:pt idx="23">
                  <c:v>0.12990400410220981</c:v>
                </c:pt>
                <c:pt idx="24">
                  <c:v>0.13458788902762417</c:v>
                </c:pt>
                <c:pt idx="25">
                  <c:v>0.13950596819930922</c:v>
                </c:pt>
                <c:pt idx="26">
                  <c:v>0.14418985312472354</c:v>
                </c:pt>
                <c:pt idx="27">
                  <c:v>0.14887373805013787</c:v>
                </c:pt>
                <c:pt idx="28">
                  <c:v>0.1535576229755522</c:v>
                </c:pt>
                <c:pt idx="29">
                  <c:v>0.15824150790096653</c:v>
                </c:pt>
                <c:pt idx="30">
                  <c:v>0.16292539282638085</c:v>
                </c:pt>
                <c:pt idx="31">
                  <c:v>0.16760927775179524</c:v>
                </c:pt>
                <c:pt idx="32">
                  <c:v>0.17229316267720957</c:v>
                </c:pt>
                <c:pt idx="33">
                  <c:v>0.17697704760262389</c:v>
                </c:pt>
                <c:pt idx="34">
                  <c:v>0.18166093252803822</c:v>
                </c:pt>
                <c:pt idx="35">
                  <c:v>0.18634481745345255</c:v>
                </c:pt>
                <c:pt idx="36">
                  <c:v>0.19102870237886688</c:v>
                </c:pt>
                <c:pt idx="37">
                  <c:v>0.1957125873042812</c:v>
                </c:pt>
                <c:pt idx="38">
                  <c:v>0.20039647222969559</c:v>
                </c:pt>
                <c:pt idx="39">
                  <c:v>0.20508035715510986</c:v>
                </c:pt>
                <c:pt idx="40">
                  <c:v>0.20976424208052419</c:v>
                </c:pt>
                <c:pt idx="41">
                  <c:v>0.21444812700593852</c:v>
                </c:pt>
                <c:pt idx="42">
                  <c:v>0.21913201193135284</c:v>
                </c:pt>
                <c:pt idx="43">
                  <c:v>0.22381589685676712</c:v>
                </c:pt>
                <c:pt idx="44">
                  <c:v>0.22849978178218144</c:v>
                </c:pt>
                <c:pt idx="45">
                  <c:v>0.23318366670759577</c:v>
                </c:pt>
                <c:pt idx="46">
                  <c:v>0.2378675516330101</c:v>
                </c:pt>
                <c:pt idx="47">
                  <c:v>0.24255143655842443</c:v>
                </c:pt>
                <c:pt idx="48">
                  <c:v>0.2472353214838387</c:v>
                </c:pt>
                <c:pt idx="49">
                  <c:v>0.25191920640925303</c:v>
                </c:pt>
                <c:pt idx="50">
                  <c:v>0.25660309133466735</c:v>
                </c:pt>
                <c:pt idx="51">
                  <c:v>0.26128697626008168</c:v>
                </c:pt>
                <c:pt idx="52">
                  <c:v>0.26597086118549595</c:v>
                </c:pt>
                <c:pt idx="53">
                  <c:v>0.27065474611091028</c:v>
                </c:pt>
                <c:pt idx="54">
                  <c:v>0.27533863103632461</c:v>
                </c:pt>
                <c:pt idx="55">
                  <c:v>0.28002251596173888</c:v>
                </c:pt>
                <c:pt idx="56">
                  <c:v>0.28470640088715321</c:v>
                </c:pt>
                <c:pt idx="57">
                  <c:v>0.28939028581256754</c:v>
                </c:pt>
                <c:pt idx="58">
                  <c:v>0.29407417073798187</c:v>
                </c:pt>
                <c:pt idx="59">
                  <c:v>0.29875805566339619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97-4CE2-A5A2-2B8DE3945F4C}"/>
            </c:ext>
          </c:extLst>
        </c:ser>
        <c:ser>
          <c:idx val="4"/>
          <c:order val="4"/>
          <c:tx>
            <c:v>Теор3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Лист1!$V$3:$V$62</c:f>
              <c:numCache>
                <c:formatCode>General</c:formatCode>
                <c:ptCount val="60"/>
                <c:pt idx="0">
                  <c:v>7.5346512685986744E-3</c:v>
                </c:pt>
                <c:pt idx="1">
                  <c:v>3.3423408499367764E-2</c:v>
                </c:pt>
                <c:pt idx="2">
                  <c:v>4.0327077094239522E-2</c:v>
                </c:pt>
                <c:pt idx="3">
                  <c:v>4.723074568911128E-2</c:v>
                </c:pt>
                <c:pt idx="4">
                  <c:v>5.6205514862444565E-2</c:v>
                </c:pt>
                <c:pt idx="5">
                  <c:v>6.1038082878854795E-2</c:v>
                </c:pt>
                <c:pt idx="6">
                  <c:v>7.1393585771162435E-2</c:v>
                </c:pt>
                <c:pt idx="7">
                  <c:v>7.4845420068598317E-2</c:v>
                </c:pt>
                <c:pt idx="8">
                  <c:v>8.1749088663470068E-2</c:v>
                </c:pt>
                <c:pt idx="9">
                  <c:v>8.8652757258341833E-2</c:v>
                </c:pt>
                <c:pt idx="10">
                  <c:v>9.5556425853213597E-2</c:v>
                </c:pt>
                <c:pt idx="11">
                  <c:v>0.1062571121752648</c:v>
                </c:pt>
                <c:pt idx="12">
                  <c:v>0.10936376304295711</c:v>
                </c:pt>
                <c:pt idx="13">
                  <c:v>0.11626743163782888</c:v>
                </c:pt>
                <c:pt idx="14">
                  <c:v>0.12317110023270063</c:v>
                </c:pt>
                <c:pt idx="15">
                  <c:v>0.13007476882757241</c:v>
                </c:pt>
                <c:pt idx="16">
                  <c:v>0.13490733684398259</c:v>
                </c:pt>
                <c:pt idx="17">
                  <c:v>0.14181100543885436</c:v>
                </c:pt>
                <c:pt idx="18">
                  <c:v>0.14871467403372612</c:v>
                </c:pt>
                <c:pt idx="19">
                  <c:v>0.15389242547987994</c:v>
                </c:pt>
                <c:pt idx="20">
                  <c:v>0.16079609407475171</c:v>
                </c:pt>
                <c:pt idx="21">
                  <c:v>0.16769976266962347</c:v>
                </c:pt>
                <c:pt idx="22">
                  <c:v>0.17460343126449523</c:v>
                </c:pt>
                <c:pt idx="23">
                  <c:v>0.181507099859367</c:v>
                </c:pt>
                <c:pt idx="24">
                  <c:v>0.18841076845423876</c:v>
                </c:pt>
                <c:pt idx="25">
                  <c:v>0.19565962047885407</c:v>
                </c:pt>
                <c:pt idx="26">
                  <c:v>0.20256328907372584</c:v>
                </c:pt>
                <c:pt idx="27">
                  <c:v>0.2094669576685976</c:v>
                </c:pt>
                <c:pt idx="28">
                  <c:v>0.21637062626346937</c:v>
                </c:pt>
                <c:pt idx="29">
                  <c:v>0.22327429485834113</c:v>
                </c:pt>
                <c:pt idx="30">
                  <c:v>0.2301779634532129</c:v>
                </c:pt>
                <c:pt idx="31">
                  <c:v>0.23708163204808466</c:v>
                </c:pt>
                <c:pt idx="32">
                  <c:v>0.24398530064295643</c:v>
                </c:pt>
                <c:pt idx="33">
                  <c:v>0.25088896923782822</c:v>
                </c:pt>
                <c:pt idx="34">
                  <c:v>0.2577926378326999</c:v>
                </c:pt>
                <c:pt idx="35">
                  <c:v>0.26469630642757169</c:v>
                </c:pt>
                <c:pt idx="36">
                  <c:v>0.27159997502244348</c:v>
                </c:pt>
                <c:pt idx="37">
                  <c:v>0.27850364361731528</c:v>
                </c:pt>
                <c:pt idx="38">
                  <c:v>0.28540731221218696</c:v>
                </c:pt>
                <c:pt idx="39">
                  <c:v>0.29231098080705875</c:v>
                </c:pt>
                <c:pt idx="40">
                  <c:v>0.29921464940193043</c:v>
                </c:pt>
                <c:pt idx="41">
                  <c:v>0.30611831799680222</c:v>
                </c:pt>
                <c:pt idx="42">
                  <c:v>0.31302198659167391</c:v>
                </c:pt>
                <c:pt idx="43">
                  <c:v>0.3199256551865457</c:v>
                </c:pt>
                <c:pt idx="44">
                  <c:v>0.32682932378141738</c:v>
                </c:pt>
                <c:pt idx="45">
                  <c:v>0.33373299237628917</c:v>
                </c:pt>
                <c:pt idx="46">
                  <c:v>0.34063666097116085</c:v>
                </c:pt>
                <c:pt idx="47">
                  <c:v>0.34754032956603265</c:v>
                </c:pt>
                <c:pt idx="48">
                  <c:v>0.35444399816090433</c:v>
                </c:pt>
                <c:pt idx="49">
                  <c:v>0.36134766675577612</c:v>
                </c:pt>
                <c:pt idx="50">
                  <c:v>0.3682513353506478</c:v>
                </c:pt>
                <c:pt idx="51">
                  <c:v>0.37515500394551959</c:v>
                </c:pt>
                <c:pt idx="52">
                  <c:v>0.38205867254039128</c:v>
                </c:pt>
                <c:pt idx="53">
                  <c:v>0.38896234113526296</c:v>
                </c:pt>
                <c:pt idx="54">
                  <c:v>0.39586600973013475</c:v>
                </c:pt>
                <c:pt idx="55">
                  <c:v>0.40276967832500643</c:v>
                </c:pt>
                <c:pt idx="56">
                  <c:v>0.40967334691987822</c:v>
                </c:pt>
                <c:pt idx="57">
                  <c:v>0.4165770155147499</c:v>
                </c:pt>
                <c:pt idx="58">
                  <c:v>0.4234806841096217</c:v>
                </c:pt>
                <c:pt idx="59">
                  <c:v>0.43038435270449338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97-4CE2-A5A2-2B8DE3945F4C}"/>
            </c:ext>
          </c:extLst>
        </c:ser>
        <c:ser>
          <c:idx val="6"/>
          <c:order val="6"/>
          <c:tx>
            <c:v>Теор4</c:v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Лист1!$W$3:$W$62</c:f>
              <c:numCache>
                <c:formatCode>0.000</c:formatCode>
                <c:ptCount val="60"/>
                <c:pt idx="0">
                  <c:v>7.0938642526824913E-3</c:v>
                </c:pt>
                <c:pt idx="1">
                  <c:v>4.1824944250703266E-2</c:v>
                </c:pt>
                <c:pt idx="2">
                  <c:v>5.1086565583508797E-2</c:v>
                </c:pt>
                <c:pt idx="3">
                  <c:v>6.0348186916314335E-2</c:v>
                </c:pt>
                <c:pt idx="4">
                  <c:v>7.2388294648961543E-2</c:v>
                </c:pt>
                <c:pt idx="5">
                  <c:v>7.8871429581925417E-2</c:v>
                </c:pt>
                <c:pt idx="6">
                  <c:v>9.2763861581133727E-2</c:v>
                </c:pt>
                <c:pt idx="7">
                  <c:v>9.7394672247536493E-2</c:v>
                </c:pt>
                <c:pt idx="8">
                  <c:v>0.10665629358034204</c:v>
                </c:pt>
                <c:pt idx="9">
                  <c:v>0.11591791491314758</c:v>
                </c:pt>
                <c:pt idx="10">
                  <c:v>0.12517953624595313</c:v>
                </c:pt>
                <c:pt idx="11">
                  <c:v>0.13953504931180169</c:v>
                </c:pt>
                <c:pt idx="12">
                  <c:v>0.14370277891156419</c:v>
                </c:pt>
                <c:pt idx="13">
                  <c:v>0.15296440024436975</c:v>
                </c:pt>
                <c:pt idx="14">
                  <c:v>0.16222602157717531</c:v>
                </c:pt>
                <c:pt idx="15">
                  <c:v>0.17148764290998084</c:v>
                </c:pt>
                <c:pt idx="16">
                  <c:v>0.17797077784294468</c:v>
                </c:pt>
                <c:pt idx="17">
                  <c:v>0.18723239917575024</c:v>
                </c:pt>
                <c:pt idx="18">
                  <c:v>0.19649402050855577</c:v>
                </c:pt>
                <c:pt idx="19">
                  <c:v>0.20344023650815993</c:v>
                </c:pt>
                <c:pt idx="20">
                  <c:v>0.21270185784096549</c:v>
                </c:pt>
                <c:pt idx="21">
                  <c:v>0.22196347917377102</c:v>
                </c:pt>
                <c:pt idx="22">
                  <c:v>0.23122510050657658</c:v>
                </c:pt>
                <c:pt idx="23">
                  <c:v>0.24048672183938213</c:v>
                </c:pt>
                <c:pt idx="24">
                  <c:v>0.24974834317218766</c:v>
                </c:pt>
                <c:pt idx="25">
                  <c:v>0.25947304557163342</c:v>
                </c:pt>
                <c:pt idx="26">
                  <c:v>0.26873466690443898</c:v>
                </c:pt>
                <c:pt idx="27">
                  <c:v>0.27799628823724454</c:v>
                </c:pt>
                <c:pt idx="28">
                  <c:v>0.2872579095700501</c:v>
                </c:pt>
                <c:pt idx="29">
                  <c:v>0.29651953090285565</c:v>
                </c:pt>
                <c:pt idx="30">
                  <c:v>0.30578115223566116</c:v>
                </c:pt>
                <c:pt idx="31">
                  <c:v>0.31504277356846672</c:v>
                </c:pt>
                <c:pt idx="32">
                  <c:v>0.32430439490127227</c:v>
                </c:pt>
                <c:pt idx="33">
                  <c:v>0.33356601623407783</c:v>
                </c:pt>
                <c:pt idx="34">
                  <c:v>0.34282763756688339</c:v>
                </c:pt>
                <c:pt idx="35">
                  <c:v>0.35208925889968889</c:v>
                </c:pt>
                <c:pt idx="36">
                  <c:v>0.36135088023249445</c:v>
                </c:pt>
                <c:pt idx="37">
                  <c:v>0.37061250156530001</c:v>
                </c:pt>
                <c:pt idx="38">
                  <c:v>0.37987412289810557</c:v>
                </c:pt>
                <c:pt idx="39">
                  <c:v>0.38913574423091107</c:v>
                </c:pt>
                <c:pt idx="40">
                  <c:v>0.39839736556371658</c:v>
                </c:pt>
                <c:pt idx="41">
                  <c:v>0.40765898689652208</c:v>
                </c:pt>
                <c:pt idx="42">
                  <c:v>0.41692060822932758</c:v>
                </c:pt>
                <c:pt idx="43">
                  <c:v>0.42618222956213309</c:v>
                </c:pt>
                <c:pt idx="44">
                  <c:v>0.43544385089493859</c:v>
                </c:pt>
                <c:pt idx="45">
                  <c:v>0.44470547222774409</c:v>
                </c:pt>
                <c:pt idx="46">
                  <c:v>0.45396709356054959</c:v>
                </c:pt>
                <c:pt idx="47">
                  <c:v>0.4632287148933551</c:v>
                </c:pt>
                <c:pt idx="48">
                  <c:v>0.4724903362261606</c:v>
                </c:pt>
                <c:pt idx="49">
                  <c:v>0.4817519575589661</c:v>
                </c:pt>
                <c:pt idx="50">
                  <c:v>0.49101357889177161</c:v>
                </c:pt>
                <c:pt idx="51">
                  <c:v>0.50027520022457717</c:v>
                </c:pt>
                <c:pt idx="52">
                  <c:v>0.50953682155738256</c:v>
                </c:pt>
                <c:pt idx="53">
                  <c:v>0.51879844289018817</c:v>
                </c:pt>
                <c:pt idx="54">
                  <c:v>0.52806006422299356</c:v>
                </c:pt>
                <c:pt idx="55">
                  <c:v>0.53732168555579918</c:v>
                </c:pt>
                <c:pt idx="56">
                  <c:v>0.54658330688860457</c:v>
                </c:pt>
                <c:pt idx="57">
                  <c:v>0.55584492822141018</c:v>
                </c:pt>
                <c:pt idx="58">
                  <c:v>0.56510654955421558</c:v>
                </c:pt>
                <c:pt idx="59">
                  <c:v>0.57436817088702119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97-4CE2-A5A2-2B8DE3945F4C}"/>
            </c:ext>
          </c:extLst>
        </c:ser>
        <c:ser>
          <c:idx val="8"/>
          <c:order val="8"/>
          <c:tx>
            <c:v>Теор5</c:v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Лист1!$X$3:$X$62</c:f>
              <c:numCache>
                <c:formatCode>0.000</c:formatCode>
                <c:ptCount val="60"/>
                <c:pt idx="0">
                  <c:v>9.6850657634676013E-3</c:v>
                </c:pt>
                <c:pt idx="1">
                  <c:v>4.9771881725209494E-2</c:v>
                </c:pt>
                <c:pt idx="2">
                  <c:v>6.0461699315007333E-2</c:v>
                </c:pt>
                <c:pt idx="3">
                  <c:v>7.1151516904805173E-2</c:v>
                </c:pt>
                <c:pt idx="4">
                  <c:v>8.5048279771542362E-2</c:v>
                </c:pt>
                <c:pt idx="5">
                  <c:v>9.2531152084400853E-2</c:v>
                </c:pt>
                <c:pt idx="6">
                  <c:v>0.10856587846909761</c:v>
                </c:pt>
                <c:pt idx="7">
                  <c:v>0.11391078726399652</c:v>
                </c:pt>
                <c:pt idx="8">
                  <c:v>0.12460060485379436</c:v>
                </c:pt>
                <c:pt idx="9">
                  <c:v>0.13529042244359218</c:v>
                </c:pt>
                <c:pt idx="10">
                  <c:v>0.14598024003339005</c:v>
                </c:pt>
                <c:pt idx="11">
                  <c:v>0.16254945729757669</c:v>
                </c:pt>
                <c:pt idx="12">
                  <c:v>0.16735987521298573</c:v>
                </c:pt>
                <c:pt idx="13">
                  <c:v>0.1780496928027836</c:v>
                </c:pt>
                <c:pt idx="14">
                  <c:v>0.18873951039258141</c:v>
                </c:pt>
                <c:pt idx="15">
                  <c:v>0.19942932798237928</c:v>
                </c:pt>
                <c:pt idx="16">
                  <c:v>0.20691220029523771</c:v>
                </c:pt>
                <c:pt idx="17">
                  <c:v>0.21760201788503558</c:v>
                </c:pt>
                <c:pt idx="18">
                  <c:v>0.22829183547483339</c:v>
                </c:pt>
                <c:pt idx="19">
                  <c:v>0.23630919866718181</c:v>
                </c:pt>
                <c:pt idx="20">
                  <c:v>0.24699901625697962</c:v>
                </c:pt>
                <c:pt idx="21">
                  <c:v>0.25768883384677749</c:v>
                </c:pt>
                <c:pt idx="22">
                  <c:v>0.26837865143657536</c:v>
                </c:pt>
                <c:pt idx="23">
                  <c:v>0.27906846902637317</c:v>
                </c:pt>
                <c:pt idx="24">
                  <c:v>0.28975828661617103</c:v>
                </c:pt>
                <c:pt idx="25">
                  <c:v>0.30098259508545872</c:v>
                </c:pt>
                <c:pt idx="26">
                  <c:v>0.31167241267525658</c:v>
                </c:pt>
                <c:pt idx="27">
                  <c:v>0.32236223026505439</c:v>
                </c:pt>
                <c:pt idx="28">
                  <c:v>0.33305204785485226</c:v>
                </c:pt>
                <c:pt idx="29">
                  <c:v>0.34374186544465013</c:v>
                </c:pt>
                <c:pt idx="30">
                  <c:v>0.35443168303444794</c:v>
                </c:pt>
                <c:pt idx="31">
                  <c:v>0.36512150062424581</c:v>
                </c:pt>
                <c:pt idx="32">
                  <c:v>0.37581131821404368</c:v>
                </c:pt>
                <c:pt idx="33">
                  <c:v>0.38650113580384149</c:v>
                </c:pt>
                <c:pt idx="34">
                  <c:v>0.39719095339363936</c:v>
                </c:pt>
                <c:pt idx="35">
                  <c:v>0.40788077098343722</c:v>
                </c:pt>
                <c:pt idx="36">
                  <c:v>0.41857058857323504</c:v>
                </c:pt>
                <c:pt idx="37">
                  <c:v>0.4292604061630329</c:v>
                </c:pt>
                <c:pt idx="38">
                  <c:v>0.43995022375283077</c:v>
                </c:pt>
                <c:pt idx="39">
                  <c:v>0.45064004134262853</c:v>
                </c:pt>
                <c:pt idx="40">
                  <c:v>0.46132985893242634</c:v>
                </c:pt>
                <c:pt idx="41">
                  <c:v>0.47201967652222415</c:v>
                </c:pt>
                <c:pt idx="42">
                  <c:v>0.48270949411202196</c:v>
                </c:pt>
                <c:pt idx="43">
                  <c:v>0.49339931170181972</c:v>
                </c:pt>
                <c:pt idx="44">
                  <c:v>0.50408912929161753</c:v>
                </c:pt>
                <c:pt idx="45">
                  <c:v>0.51477894688141534</c:v>
                </c:pt>
                <c:pt idx="46">
                  <c:v>0.52546876447121316</c:v>
                </c:pt>
                <c:pt idx="47">
                  <c:v>0.53615858206101097</c:v>
                </c:pt>
                <c:pt idx="48">
                  <c:v>0.54684839965080878</c:v>
                </c:pt>
                <c:pt idx="49">
                  <c:v>0.55753821724060659</c:v>
                </c:pt>
                <c:pt idx="50">
                  <c:v>0.5682280348304044</c:v>
                </c:pt>
                <c:pt idx="51">
                  <c:v>0.57891785242020211</c:v>
                </c:pt>
                <c:pt idx="52">
                  <c:v>0.58960767000999992</c:v>
                </c:pt>
                <c:pt idx="53">
                  <c:v>0.60029748759979773</c:v>
                </c:pt>
                <c:pt idx="54">
                  <c:v>0.61098730518959554</c:v>
                </c:pt>
                <c:pt idx="55">
                  <c:v>0.62167712277939335</c:v>
                </c:pt>
                <c:pt idx="56">
                  <c:v>0.63236694036919117</c:v>
                </c:pt>
                <c:pt idx="57">
                  <c:v>0.64305675795898898</c:v>
                </c:pt>
                <c:pt idx="58">
                  <c:v>0.65374657554878679</c:v>
                </c:pt>
                <c:pt idx="59">
                  <c:v>0.6644363931385846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97-4CE2-A5A2-2B8DE3945F4C}"/>
            </c:ext>
          </c:extLst>
        </c:ser>
        <c:ser>
          <c:idx val="10"/>
          <c:order val="10"/>
          <c:tx>
            <c:v>Теор6</c:v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Лист1!$S$3:$S$62</c:f>
              <c:numCache>
                <c:formatCode>General</c:formatCode>
                <c:ptCount val="60"/>
                <c:pt idx="0" formatCode="0">
                  <c:v>0</c:v>
                </c:pt>
                <c:pt idx="1">
                  <c:v>0.75</c:v>
                </c:pt>
                <c:pt idx="2" formatCode="0.00">
                  <c:v>0.95</c:v>
                </c:pt>
                <c:pt idx="3" formatCode="0.00">
                  <c:v>1.1499999999999999</c:v>
                </c:pt>
                <c:pt idx="4" formatCode="0.00">
                  <c:v>1.41</c:v>
                </c:pt>
                <c:pt idx="5" formatCode="0.00">
                  <c:v>1.55</c:v>
                </c:pt>
                <c:pt idx="6" formatCode="0.00">
                  <c:v>1.85</c:v>
                </c:pt>
                <c:pt idx="7" formatCode="0.00">
                  <c:v>1.95</c:v>
                </c:pt>
                <c:pt idx="8" formatCode="0.00">
                  <c:v>2.15</c:v>
                </c:pt>
                <c:pt idx="9" formatCode="0.00">
                  <c:v>2.35</c:v>
                </c:pt>
                <c:pt idx="10" formatCode="0.00">
                  <c:v>2.5500000000000003</c:v>
                </c:pt>
                <c:pt idx="11" formatCode="0.00">
                  <c:v>2.86</c:v>
                </c:pt>
                <c:pt idx="12" formatCode="0.00">
                  <c:v>2.95</c:v>
                </c:pt>
                <c:pt idx="13" formatCode="0.00">
                  <c:v>3.1500000000000004</c:v>
                </c:pt>
                <c:pt idx="14" formatCode="0.00">
                  <c:v>3.3500000000000005</c:v>
                </c:pt>
                <c:pt idx="15" formatCode="0.00">
                  <c:v>3.5500000000000007</c:v>
                </c:pt>
                <c:pt idx="16" formatCode="0.00">
                  <c:v>3.69</c:v>
                </c:pt>
                <c:pt idx="17" formatCode="0.00">
                  <c:v>3.89</c:v>
                </c:pt>
                <c:pt idx="18" formatCode="0.00">
                  <c:v>4.09</c:v>
                </c:pt>
                <c:pt idx="19" formatCode="0.00">
                  <c:v>4.24</c:v>
                </c:pt>
                <c:pt idx="20" formatCode="0.00">
                  <c:v>4.4400000000000004</c:v>
                </c:pt>
                <c:pt idx="21" formatCode="0.00">
                  <c:v>4.6400000000000006</c:v>
                </c:pt>
                <c:pt idx="22" formatCode="0.00">
                  <c:v>4.8400000000000007</c:v>
                </c:pt>
                <c:pt idx="23" formatCode="0.00">
                  <c:v>5.0400000000000009</c:v>
                </c:pt>
                <c:pt idx="24" formatCode="0.00">
                  <c:v>5.2400000000000011</c:v>
                </c:pt>
                <c:pt idx="25" formatCode="0.00">
                  <c:v>5.45</c:v>
                </c:pt>
                <c:pt idx="26" formatCode="0.00">
                  <c:v>5.65</c:v>
                </c:pt>
                <c:pt idx="27" formatCode="0.00">
                  <c:v>5.8500000000000005</c:v>
                </c:pt>
                <c:pt idx="28" formatCode="0.00">
                  <c:v>6.0500000000000007</c:v>
                </c:pt>
                <c:pt idx="29" formatCode="0.00">
                  <c:v>6.2500000000000009</c:v>
                </c:pt>
                <c:pt idx="30" formatCode="0.00">
                  <c:v>6.4500000000000011</c:v>
                </c:pt>
                <c:pt idx="31" formatCode="0.00">
                  <c:v>6.6500000000000012</c:v>
                </c:pt>
                <c:pt idx="32" formatCode="0.00">
                  <c:v>6.8500000000000014</c:v>
                </c:pt>
                <c:pt idx="33" formatCode="0.00">
                  <c:v>7.0500000000000016</c:v>
                </c:pt>
                <c:pt idx="34" formatCode="0.00">
                  <c:v>7.2500000000000018</c:v>
                </c:pt>
                <c:pt idx="35" formatCode="0.00">
                  <c:v>7.450000000000002</c:v>
                </c:pt>
                <c:pt idx="36" formatCode="0.00">
                  <c:v>7.6500000000000021</c:v>
                </c:pt>
                <c:pt idx="37" formatCode="0.00">
                  <c:v>7.8500000000000023</c:v>
                </c:pt>
                <c:pt idx="38" formatCode="0.00">
                  <c:v>8.0500000000000025</c:v>
                </c:pt>
                <c:pt idx="39" formatCode="0.00">
                  <c:v>8.2500000000000018</c:v>
                </c:pt>
                <c:pt idx="40" formatCode="0.00">
                  <c:v>8.4500000000000011</c:v>
                </c:pt>
                <c:pt idx="41" formatCode="0.00">
                  <c:v>8.65</c:v>
                </c:pt>
                <c:pt idx="42" formatCode="0.00">
                  <c:v>8.85</c:v>
                </c:pt>
                <c:pt idx="43" formatCode="0.00">
                  <c:v>9.0499999999999989</c:v>
                </c:pt>
                <c:pt idx="44" formatCode="0.00">
                  <c:v>9.2499999999999982</c:v>
                </c:pt>
                <c:pt idx="45" formatCode="0.00">
                  <c:v>9.4499999999999975</c:v>
                </c:pt>
                <c:pt idx="46" formatCode="0.00">
                  <c:v>9.6499999999999968</c:v>
                </c:pt>
                <c:pt idx="47" formatCode="0.00">
                  <c:v>9.8499999999999961</c:v>
                </c:pt>
                <c:pt idx="48" formatCode="0.00">
                  <c:v>10.049999999999995</c:v>
                </c:pt>
                <c:pt idx="49" formatCode="0.00">
                  <c:v>10.249999999999995</c:v>
                </c:pt>
                <c:pt idx="50" formatCode="0.00">
                  <c:v>10.449999999999994</c:v>
                </c:pt>
                <c:pt idx="51" formatCode="0.00">
                  <c:v>10.649999999999993</c:v>
                </c:pt>
                <c:pt idx="52" formatCode="0.00">
                  <c:v>10.849999999999993</c:v>
                </c:pt>
                <c:pt idx="53" formatCode="0.00">
                  <c:v>11.049999999999992</c:v>
                </c:pt>
                <c:pt idx="54" formatCode="0.00">
                  <c:v>11.249999999999991</c:v>
                </c:pt>
                <c:pt idx="55" formatCode="0.00">
                  <c:v>11.44999999999999</c:v>
                </c:pt>
                <c:pt idx="56" formatCode="0.00">
                  <c:v>11.64999999999999</c:v>
                </c:pt>
                <c:pt idx="57" formatCode="0.00">
                  <c:v>11.849999999999989</c:v>
                </c:pt>
                <c:pt idx="58" formatCode="0.00">
                  <c:v>12.049999999999988</c:v>
                </c:pt>
                <c:pt idx="59" formatCode="0.00">
                  <c:v>12.249999999999988</c:v>
                </c:pt>
              </c:numCache>
            </c:numRef>
          </c:xVal>
          <c:yVal>
            <c:numRef>
              <c:f>Лист1!$Y$3:$Y$62</c:f>
              <c:numCache>
                <c:formatCode>0.000</c:formatCode>
                <c:ptCount val="60"/>
                <c:pt idx="0">
                  <c:v>8.7119588473297538E-3</c:v>
                </c:pt>
                <c:pt idx="1">
                  <c:v>6.1137792624907511E-2</c:v>
                </c:pt>
                <c:pt idx="2">
                  <c:v>7.5118014965594906E-2</c:v>
                </c:pt>
                <c:pt idx="3">
                  <c:v>8.9098237306282302E-2</c:v>
                </c:pt>
                <c:pt idx="4">
                  <c:v>0.10727252634917593</c:v>
                </c:pt>
                <c:pt idx="5">
                  <c:v>0.11705868198765712</c:v>
                </c:pt>
                <c:pt idx="6">
                  <c:v>0.13802901549868821</c:v>
                </c:pt>
                <c:pt idx="7">
                  <c:v>0.14501912666903191</c:v>
                </c:pt>
                <c:pt idx="8">
                  <c:v>0.15899934900971932</c:v>
                </c:pt>
                <c:pt idx="9">
                  <c:v>0.17297957135040673</c:v>
                </c:pt>
                <c:pt idx="10">
                  <c:v>0.18695979369109414</c:v>
                </c:pt>
                <c:pt idx="11">
                  <c:v>0.20862913831915958</c:v>
                </c:pt>
                <c:pt idx="12">
                  <c:v>0.21492023837246893</c:v>
                </c:pt>
                <c:pt idx="13">
                  <c:v>0.22890046071315634</c:v>
                </c:pt>
                <c:pt idx="14">
                  <c:v>0.24288068305384375</c:v>
                </c:pt>
                <c:pt idx="15">
                  <c:v>0.25686090539453116</c:v>
                </c:pt>
                <c:pt idx="16">
                  <c:v>0.26664706103301228</c:v>
                </c:pt>
                <c:pt idx="17">
                  <c:v>0.28062728337369969</c:v>
                </c:pt>
                <c:pt idx="18">
                  <c:v>0.2946075057143871</c:v>
                </c:pt>
                <c:pt idx="19">
                  <c:v>0.30509267246990268</c:v>
                </c:pt>
                <c:pt idx="20">
                  <c:v>0.31907289481059009</c:v>
                </c:pt>
                <c:pt idx="21">
                  <c:v>0.3330531171512775</c:v>
                </c:pt>
                <c:pt idx="22">
                  <c:v>0.34703333949196491</c:v>
                </c:pt>
                <c:pt idx="23">
                  <c:v>0.36101356183265232</c:v>
                </c:pt>
                <c:pt idx="24">
                  <c:v>0.37499378417333973</c:v>
                </c:pt>
                <c:pt idx="25">
                  <c:v>0.38967301763106144</c:v>
                </c:pt>
                <c:pt idx="26">
                  <c:v>0.40365323997174885</c:v>
                </c:pt>
                <c:pt idx="27">
                  <c:v>0.41763346231243625</c:v>
                </c:pt>
                <c:pt idx="28">
                  <c:v>0.43161368465312366</c:v>
                </c:pt>
                <c:pt idx="29">
                  <c:v>0.44559390699381107</c:v>
                </c:pt>
                <c:pt idx="30">
                  <c:v>0.45957412933449848</c:v>
                </c:pt>
                <c:pt idx="31">
                  <c:v>0.47355435167518589</c:v>
                </c:pt>
                <c:pt idx="32">
                  <c:v>0.4875345740158733</c:v>
                </c:pt>
                <c:pt idx="33">
                  <c:v>0.50151479635656071</c:v>
                </c:pt>
                <c:pt idx="34">
                  <c:v>0.51549501869724823</c:v>
                </c:pt>
                <c:pt idx="35">
                  <c:v>0.52947524103793564</c:v>
                </c:pt>
                <c:pt idx="36">
                  <c:v>0.54345546337862305</c:v>
                </c:pt>
                <c:pt idx="37">
                  <c:v>0.55743568571931046</c:v>
                </c:pt>
                <c:pt idx="38">
                  <c:v>0.57141590805999787</c:v>
                </c:pt>
                <c:pt idx="39">
                  <c:v>0.58539613040068517</c:v>
                </c:pt>
                <c:pt idx="40">
                  <c:v>0.59937635274137258</c:v>
                </c:pt>
                <c:pt idx="41">
                  <c:v>0.61335657508205987</c:v>
                </c:pt>
                <c:pt idx="42">
                  <c:v>0.62733679742274728</c:v>
                </c:pt>
                <c:pt idx="43">
                  <c:v>0.64131701976343458</c:v>
                </c:pt>
                <c:pt idx="44">
                  <c:v>0.65529724210412199</c:v>
                </c:pt>
                <c:pt idx="45">
                  <c:v>0.66927746444480929</c:v>
                </c:pt>
                <c:pt idx="46">
                  <c:v>0.6832576867854967</c:v>
                </c:pt>
                <c:pt idx="47">
                  <c:v>0.697237909126184</c:v>
                </c:pt>
                <c:pt idx="48">
                  <c:v>0.71121813146687141</c:v>
                </c:pt>
                <c:pt idx="49">
                  <c:v>0.7251983538075587</c:v>
                </c:pt>
                <c:pt idx="50">
                  <c:v>0.73917857614824611</c:v>
                </c:pt>
                <c:pt idx="51">
                  <c:v>0.75315879848893341</c:v>
                </c:pt>
                <c:pt idx="52">
                  <c:v>0.76713902082962071</c:v>
                </c:pt>
                <c:pt idx="53">
                  <c:v>0.78111924317030812</c:v>
                </c:pt>
                <c:pt idx="54">
                  <c:v>0.79509946551099542</c:v>
                </c:pt>
                <c:pt idx="55">
                  <c:v>0.80907968785168283</c:v>
                </c:pt>
                <c:pt idx="56">
                  <c:v>0.82305991019237013</c:v>
                </c:pt>
                <c:pt idx="57">
                  <c:v>0.83704013253305753</c:v>
                </c:pt>
                <c:pt idx="58">
                  <c:v>0.85102035487374483</c:v>
                </c:pt>
                <c:pt idx="59">
                  <c:v>0.86500057721443224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F97-4CE2-A5A2-2B8DE394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6655"/>
        <c:axId val="1571433743"/>
      </c:scatterChart>
      <c:valAx>
        <c:axId val="157143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EPS, </a:t>
                </a:r>
                <a:r>
                  <a:rPr lang="ru-RU"/>
                  <a:t>рад</a:t>
                </a:r>
                <a:r>
                  <a:rPr lang="en-US"/>
                  <a:t>/c^2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1433743"/>
        <c:crosses val="autoZero"/>
        <c:crossBetween val="midCat"/>
      </c:valAx>
      <c:valAx>
        <c:axId val="15714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 H*c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143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I(R^2)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Эксп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Лист1!$C$33:$C$44</c:f>
              <c:numCache>
                <c:formatCode>General</c:formatCode>
                <c:ptCount val="12"/>
                <c:pt idx="0">
                  <c:v>0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1.4E-2</c:v>
                </c:pt>
                <c:pt idx="4">
                  <c:v>1.6E-2</c:v>
                </c:pt>
                <c:pt idx="5">
                  <c:v>0.02</c:v>
                </c:pt>
                <c:pt idx="6">
                  <c:v>2.3E-2</c:v>
                </c:pt>
                <c:pt idx="7">
                  <c:v>2.7E-2</c:v>
                </c:pt>
                <c:pt idx="8">
                  <c:v>3.1E-2</c:v>
                </c:pt>
                <c:pt idx="9">
                  <c:v>3.5000000000000003E-2</c:v>
                </c:pt>
                <c:pt idx="10">
                  <c:v>3.9000000000000007E-2</c:v>
                </c:pt>
                <c:pt idx="11">
                  <c:v>4.1000000000000002E-2</c:v>
                </c:pt>
              </c:numCache>
            </c:numRef>
          </c:xVal>
          <c:yVal>
            <c:numRef>
              <c:f>Лист1!$E$33:$E$44</c:f>
              <c:numCache>
                <c:formatCode>General</c:formatCode>
                <c:ptCount val="12"/>
                <c:pt idx="1">
                  <c:v>1.6E-2</c:v>
                </c:pt>
                <c:pt idx="2">
                  <c:v>2.3E-2</c:v>
                </c:pt>
                <c:pt idx="4">
                  <c:v>3.5000000000000003E-2</c:v>
                </c:pt>
                <c:pt idx="6">
                  <c:v>4.5999999999999999E-2</c:v>
                </c:pt>
                <c:pt idx="8">
                  <c:v>5.2999999999999999E-2</c:v>
                </c:pt>
                <c:pt idx="11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2-4975-9543-49BC8306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652479"/>
        <c:axId val="1607656639"/>
      </c:scatterChart>
      <c:scatterChart>
        <c:scatterStyle val="smoothMarker"/>
        <c:varyColors val="0"/>
        <c:ser>
          <c:idx val="0"/>
          <c:order val="0"/>
          <c:tx>
            <c:v>Теор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Лист1!$C$33:$C$44</c:f>
              <c:numCache>
                <c:formatCode>General</c:formatCode>
                <c:ptCount val="12"/>
                <c:pt idx="0">
                  <c:v>0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1.4E-2</c:v>
                </c:pt>
                <c:pt idx="4">
                  <c:v>1.6E-2</c:v>
                </c:pt>
                <c:pt idx="5">
                  <c:v>0.02</c:v>
                </c:pt>
                <c:pt idx="6">
                  <c:v>2.3E-2</c:v>
                </c:pt>
                <c:pt idx="7">
                  <c:v>2.7E-2</c:v>
                </c:pt>
                <c:pt idx="8">
                  <c:v>3.1E-2</c:v>
                </c:pt>
                <c:pt idx="9">
                  <c:v>3.5000000000000003E-2</c:v>
                </c:pt>
                <c:pt idx="10">
                  <c:v>3.9000000000000007E-2</c:v>
                </c:pt>
                <c:pt idx="11">
                  <c:v>4.1000000000000002E-2</c:v>
                </c:pt>
              </c:numCache>
            </c:numRef>
          </c:xVal>
          <c:yVal>
            <c:numRef>
              <c:f>Лист1!$D$33:$D$44</c:f>
              <c:numCache>
                <c:formatCode>General</c:formatCode>
                <c:ptCount val="12"/>
                <c:pt idx="0">
                  <c:v>8.399098674774369E-3</c:v>
                </c:pt>
                <c:pt idx="1">
                  <c:v>1.7470950563220324E-2</c:v>
                </c:pt>
                <c:pt idx="2">
                  <c:v>2.3518851822184297E-2</c:v>
                </c:pt>
                <c:pt idx="3">
                  <c:v>2.9566753081148266E-2</c:v>
                </c:pt>
                <c:pt idx="4">
                  <c:v>3.2590703710630248E-2</c:v>
                </c:pt>
                <c:pt idx="5">
                  <c:v>3.8638604969594224E-2</c:v>
                </c:pt>
                <c:pt idx="6">
                  <c:v>4.3174530913817198E-2</c:v>
                </c:pt>
                <c:pt idx="7">
                  <c:v>4.9222432172781168E-2</c:v>
                </c:pt>
                <c:pt idx="8">
                  <c:v>5.5270333431745144E-2</c:v>
                </c:pt>
                <c:pt idx="9">
                  <c:v>6.1318234690709114E-2</c:v>
                </c:pt>
                <c:pt idx="10">
                  <c:v>6.7366135949673084E-2</c:v>
                </c:pt>
                <c:pt idx="11">
                  <c:v>7.0390086579155076E-2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2-4975-9543-49BC8306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652479"/>
        <c:axId val="1607656639"/>
      </c:scatterChart>
      <c:valAx>
        <c:axId val="160765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R^2, </a:t>
                </a:r>
                <a:r>
                  <a:rPr lang="ru-RU"/>
                  <a:t>м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656639"/>
        <c:crosses val="autoZero"/>
        <c:crossBetween val="midCat"/>
      </c:valAx>
      <c:valAx>
        <c:axId val="16076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65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29</xdr:row>
      <xdr:rowOff>152400</xdr:rowOff>
    </xdr:from>
    <xdr:to>
      <xdr:col>16</xdr:col>
      <xdr:colOff>47625</xdr:colOff>
      <xdr:row>44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4CF0CC-BA35-9232-CCB3-A27C5E539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44</xdr:row>
      <xdr:rowOff>85725</xdr:rowOff>
    </xdr:from>
    <xdr:to>
      <xdr:col>15</xdr:col>
      <xdr:colOff>533400</xdr:colOff>
      <xdr:row>58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016EFD7-FE25-CDC1-BABA-77C79D609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62"/>
  <sheetViews>
    <sheetView tabSelected="1" topLeftCell="A25" zoomScaleNormal="100" workbookViewId="0">
      <selection activeCell="Q56" sqref="Q56"/>
    </sheetView>
  </sheetViews>
  <sheetFormatPr defaultRowHeight="15" x14ac:dyDescent="0.25"/>
  <cols>
    <col min="2" max="2" width="25.7109375" customWidth="1"/>
    <col min="4" max="4" width="9.5703125" bestFit="1" customWidth="1"/>
    <col min="8" max="8" width="9.140625" customWidth="1"/>
  </cols>
  <sheetData>
    <row r="2" spans="2:31" x14ac:dyDescent="0.25">
      <c r="B2" s="11" t="s">
        <v>0</v>
      </c>
      <c r="C2" s="11" t="s">
        <v>7</v>
      </c>
      <c r="D2" s="11"/>
      <c r="E2" s="11"/>
      <c r="F2" s="11"/>
      <c r="G2" s="11"/>
      <c r="H2" s="11"/>
      <c r="S2" t="s">
        <v>36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</row>
    <row r="3" spans="2:31" x14ac:dyDescent="0.25">
      <c r="B3" s="11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J3" s="2"/>
      <c r="K3" s="2"/>
      <c r="L3" s="5">
        <v>1</v>
      </c>
      <c r="M3" s="5">
        <v>2</v>
      </c>
      <c r="N3" s="5">
        <v>3</v>
      </c>
      <c r="O3" s="5">
        <v>4</v>
      </c>
      <c r="P3" s="5">
        <v>5</v>
      </c>
      <c r="Q3" s="5">
        <v>6</v>
      </c>
      <c r="S3" s="13">
        <v>0</v>
      </c>
      <c r="T3" s="8">
        <f>$L$21+$L$20*S3</f>
        <v>1.6285622241204722E-2</v>
      </c>
      <c r="U3" s="8">
        <f>$M$21+$M$20*S3</f>
        <v>1.1870103981768645E-2</v>
      </c>
      <c r="V3" s="8">
        <f>$N$21+$N$20*S3</f>
        <v>7.5346512685986744E-3</v>
      </c>
      <c r="W3" s="8">
        <f>$O$21+$O$20*S3</f>
        <v>7.0938642526824913E-3</v>
      </c>
      <c r="X3" s="8">
        <f>$P$21+$P$20*S3</f>
        <v>9.6850657634676013E-3</v>
      </c>
      <c r="Y3" s="8">
        <f>$Q$21+$Q$20*S3</f>
        <v>8.7119588473297538E-3</v>
      </c>
    </row>
    <row r="4" spans="2:31" x14ac:dyDescent="0.25">
      <c r="B4" s="10" t="s">
        <v>8</v>
      </c>
      <c r="C4" s="2">
        <v>4.59</v>
      </c>
      <c r="D4" s="2">
        <v>5.37</v>
      </c>
      <c r="E4" s="2">
        <v>6.44</v>
      </c>
      <c r="F4" s="2">
        <v>7.28</v>
      </c>
      <c r="G4" s="2">
        <v>7.94</v>
      </c>
      <c r="H4" s="2">
        <v>9.06</v>
      </c>
      <c r="J4" s="10" t="s">
        <v>13</v>
      </c>
      <c r="K4" s="2" t="s">
        <v>17</v>
      </c>
      <c r="L4" s="2">
        <f>(2*0.7)/C7^2</f>
        <v>6.9135802469135796E-2</v>
      </c>
      <c r="M4" s="2">
        <f>(2*0.7)/D7^2</f>
        <v>4.8669676203734351E-2</v>
      </c>
      <c r="N4" s="2">
        <f t="shared" ref="N4:P4" si="0">(2*0.7)/E7^2</f>
        <v>3.5498397500912812E-2</v>
      </c>
      <c r="O4" s="2">
        <f t="shared" si="0"/>
        <v>2.7031195930903962E-2</v>
      </c>
      <c r="P4" s="2">
        <f t="shared" si="0"/>
        <v>2.1802265220749663E-2</v>
      </c>
      <c r="Q4" s="2">
        <f>(2*0.7)/H7^2</f>
        <v>1.7283950617283949E-2</v>
      </c>
      <c r="S4" s="14">
        <v>0.75</v>
      </c>
      <c r="T4" s="8">
        <f t="shared" ref="T4:T62" si="1">$L$21+$L$20*S4</f>
        <v>2.8192812627108623E-2</v>
      </c>
      <c r="U4" s="8">
        <f t="shared" ref="U4:U62" si="2">$M$21+$M$20*S4</f>
        <v>2.9434672452072388E-2</v>
      </c>
      <c r="V4" s="8">
        <f t="shared" ref="V4:V62" si="3">$N$21+$N$20*S4</f>
        <v>3.3423408499367764E-2</v>
      </c>
      <c r="W4" s="8">
        <f t="shared" ref="W4:W62" si="4">$O$21+$O$20*S4</f>
        <v>4.1824944250703266E-2</v>
      </c>
      <c r="X4" s="8">
        <f t="shared" ref="X4:X62" si="5">$P$21+$P$20*S4</f>
        <v>4.9771881725209494E-2</v>
      </c>
      <c r="Y4" s="8">
        <f t="shared" ref="Y4:Y62" si="6">$Q$21+$Q$20*S4</f>
        <v>6.1137792624907511E-2</v>
      </c>
      <c r="AE4">
        <v>0.06</v>
      </c>
    </row>
    <row r="5" spans="2:31" x14ac:dyDescent="0.25">
      <c r="B5" s="10"/>
      <c r="C5" s="2">
        <v>4.4400000000000004</v>
      </c>
      <c r="D5" s="2">
        <v>5.47</v>
      </c>
      <c r="E5" s="2">
        <v>6.28</v>
      </c>
      <c r="F5" s="2">
        <v>7.16</v>
      </c>
      <c r="G5" s="2">
        <v>7.97</v>
      </c>
      <c r="H5" s="2">
        <v>8.94</v>
      </c>
      <c r="J5" s="10"/>
      <c r="K5" s="2" t="s">
        <v>18</v>
      </c>
      <c r="L5" s="2">
        <f>(2*L4)/0.046</f>
        <v>3.0059044551798171</v>
      </c>
      <c r="M5" s="2">
        <f t="shared" ref="M5:Q5" si="7">(2*M4)/0.046</f>
        <v>2.1160728784232328</v>
      </c>
      <c r="N5" s="2">
        <f t="shared" si="7"/>
        <v>1.5434085869962093</v>
      </c>
      <c r="O5" s="2">
        <f t="shared" si="7"/>
        <v>1.1752693883001724</v>
      </c>
      <c r="P5" s="2">
        <f t="shared" si="7"/>
        <v>0.94792457481520276</v>
      </c>
      <c r="Q5" s="2">
        <f t="shared" si="7"/>
        <v>0.75147611379495427</v>
      </c>
      <c r="S5" s="6">
        <f>S4+0.2</f>
        <v>0.95</v>
      </c>
      <c r="T5" s="8">
        <f t="shared" si="1"/>
        <v>3.1368063396682994E-2</v>
      </c>
      <c r="U5" s="8">
        <f t="shared" si="2"/>
        <v>3.4118557377486716E-2</v>
      </c>
      <c r="V5" s="8">
        <f t="shared" si="3"/>
        <v>4.0327077094239522E-2</v>
      </c>
      <c r="W5" s="8">
        <f t="shared" si="4"/>
        <v>5.1086565583508797E-2</v>
      </c>
      <c r="X5" s="8">
        <f t="shared" si="5"/>
        <v>6.0461699315007333E-2</v>
      </c>
      <c r="Y5" s="8">
        <f t="shared" si="6"/>
        <v>7.5118014965594906E-2</v>
      </c>
      <c r="AD5">
        <v>0.06</v>
      </c>
    </row>
    <row r="6" spans="2:31" x14ac:dyDescent="0.25">
      <c r="B6" s="10"/>
      <c r="C6" s="2">
        <v>4.47</v>
      </c>
      <c r="D6" s="2">
        <v>5.25</v>
      </c>
      <c r="E6" s="2">
        <v>6.12</v>
      </c>
      <c r="F6" s="2">
        <v>7.15</v>
      </c>
      <c r="G6" s="2">
        <v>8.1300000000000008</v>
      </c>
      <c r="H6" s="2">
        <v>9</v>
      </c>
      <c r="J6" s="10"/>
      <c r="K6" s="2" t="s">
        <v>19</v>
      </c>
      <c r="L6" s="2">
        <f>(0.267*0.046)/2*(9.82-L4)</f>
        <v>5.9880057037037047E-2</v>
      </c>
      <c r="M6" s="2">
        <f>(0.267*0.046)/2*(9.82-M4)</f>
        <v>6.0005739518432868E-2</v>
      </c>
      <c r="N6" s="2">
        <f t="shared" ref="N6:P6" si="8">(0.267*0.046)/2*(9.82-N4)</f>
        <v>6.0086624340946901E-2</v>
      </c>
      <c r="O6" s="2">
        <f t="shared" si="8"/>
        <v>6.0138621425788324E-2</v>
      </c>
      <c r="P6" s="2">
        <f t="shared" si="8"/>
        <v>6.0170732289279383E-2</v>
      </c>
      <c r="Q6" s="2">
        <f>(0.267*0.046)/2*(9.82-Q4)</f>
        <v>6.0198479259259273E-2</v>
      </c>
      <c r="S6" s="6">
        <f t="shared" ref="S6:S62" si="9">S5+0.2</f>
        <v>1.1499999999999999</v>
      </c>
      <c r="T6" s="8">
        <f t="shared" si="1"/>
        <v>3.4543314166257368E-2</v>
      </c>
      <c r="U6" s="8">
        <f t="shared" si="2"/>
        <v>3.8802442302901051E-2</v>
      </c>
      <c r="V6" s="8">
        <f t="shared" si="3"/>
        <v>4.723074568911128E-2</v>
      </c>
      <c r="W6" s="8">
        <f t="shared" si="4"/>
        <v>6.0348186916314335E-2</v>
      </c>
      <c r="X6" s="8">
        <f t="shared" si="5"/>
        <v>7.1151516904805173E-2</v>
      </c>
      <c r="Y6" s="8">
        <f t="shared" si="6"/>
        <v>8.9098237306282302E-2</v>
      </c>
      <c r="AC6">
        <v>0.06</v>
      </c>
    </row>
    <row r="7" spans="2:31" x14ac:dyDescent="0.25">
      <c r="B7" s="10"/>
      <c r="C7" s="2">
        <f>AVERAGE(C4:C6)</f>
        <v>4.5</v>
      </c>
      <c r="D7" s="2">
        <f t="shared" ref="D7:G7" si="10">AVERAGE(D4:D6)</f>
        <v>5.3633333333333333</v>
      </c>
      <c r="E7" s="2">
        <f t="shared" si="10"/>
        <v>6.28</v>
      </c>
      <c r="F7" s="2">
        <f t="shared" si="10"/>
        <v>7.1966666666666681</v>
      </c>
      <c r="G7" s="2">
        <f t="shared" si="10"/>
        <v>8.0133333333333336</v>
      </c>
      <c r="H7" s="2">
        <f>AVERAGE(H4:H6)</f>
        <v>9</v>
      </c>
      <c r="I7" t="s">
        <v>11</v>
      </c>
      <c r="J7" s="10" t="s">
        <v>14</v>
      </c>
      <c r="K7" s="2" t="s">
        <v>17</v>
      </c>
      <c r="L7" s="2">
        <f>(2*0.7)/C11^2</f>
        <v>0.12524738844284694</v>
      </c>
      <c r="M7" s="2">
        <f t="shared" ref="M7:P7" si="11">(2*0.7)/D11^2</f>
        <v>9.7465208401500983E-2</v>
      </c>
      <c r="N7" s="2">
        <f t="shared" si="11"/>
        <v>6.5685725084387914E-2</v>
      </c>
      <c r="O7" s="2">
        <f t="shared" si="11"/>
        <v>4.9034697496778683E-2</v>
      </c>
      <c r="P7" s="2">
        <f t="shared" si="11"/>
        <v>4.2491714115747432E-2</v>
      </c>
      <c r="Q7" s="2">
        <f>(2*0.7)/H11^2</f>
        <v>3.2499682096363613E-2</v>
      </c>
      <c r="S7" s="6">
        <f>1.41</f>
        <v>1.41</v>
      </c>
      <c r="T7" s="8">
        <f t="shared" si="1"/>
        <v>3.8671140166704053E-2</v>
      </c>
      <c r="U7" s="8">
        <f t="shared" si="2"/>
        <v>4.4891492705939687E-2</v>
      </c>
      <c r="V7" s="8">
        <f t="shared" si="3"/>
        <v>5.6205514862444565E-2</v>
      </c>
      <c r="W7" s="8">
        <f t="shared" si="4"/>
        <v>7.2388294648961543E-2</v>
      </c>
      <c r="X7" s="8">
        <f t="shared" si="5"/>
        <v>8.5048279771542362E-2</v>
      </c>
      <c r="Y7" s="8">
        <f t="shared" si="6"/>
        <v>0.10727252634917593</v>
      </c>
      <c r="AE7">
        <v>0.11</v>
      </c>
    </row>
    <row r="8" spans="2:31" x14ac:dyDescent="0.25">
      <c r="B8" s="10" t="s">
        <v>9</v>
      </c>
      <c r="C8" s="2">
        <v>3.38</v>
      </c>
      <c r="D8" s="2">
        <v>3.69</v>
      </c>
      <c r="E8" s="2">
        <v>4.5999999999999996</v>
      </c>
      <c r="F8" s="2">
        <v>5.35</v>
      </c>
      <c r="G8" s="2">
        <v>5.63</v>
      </c>
      <c r="H8" s="2">
        <v>6.41</v>
      </c>
      <c r="J8" s="10"/>
      <c r="K8" s="2" t="s">
        <v>18</v>
      </c>
      <c r="L8" s="2">
        <f>(2*L7)/0.046</f>
        <v>5.4455386279498672</v>
      </c>
      <c r="M8" s="2">
        <f t="shared" ref="M8:P8" si="12">(2*M7)/0.046</f>
        <v>4.2376177565869995</v>
      </c>
      <c r="N8" s="2">
        <f t="shared" si="12"/>
        <v>2.8559010906255615</v>
      </c>
      <c r="O8" s="2">
        <f t="shared" si="12"/>
        <v>2.1319433694251599</v>
      </c>
      <c r="P8" s="2">
        <f t="shared" si="12"/>
        <v>1.8474658311194536</v>
      </c>
      <c r="Q8" s="2">
        <f>(2*Q7)/0.046</f>
        <v>1.4130296563636353</v>
      </c>
      <c r="S8" s="6">
        <f>1.55</f>
        <v>1.55</v>
      </c>
      <c r="T8" s="8">
        <f t="shared" si="1"/>
        <v>4.0893815705406115E-2</v>
      </c>
      <c r="U8" s="8">
        <f t="shared" si="2"/>
        <v>4.817021215372972E-2</v>
      </c>
      <c r="V8" s="8">
        <f t="shared" si="3"/>
        <v>6.1038082878854795E-2</v>
      </c>
      <c r="W8" s="8">
        <f t="shared" si="4"/>
        <v>7.8871429581925417E-2</v>
      </c>
      <c r="X8" s="8">
        <f t="shared" si="5"/>
        <v>9.2531152084400853E-2</v>
      </c>
      <c r="Y8" s="8">
        <f t="shared" si="6"/>
        <v>0.11705868198765712</v>
      </c>
      <c r="AB8">
        <v>0.06</v>
      </c>
    </row>
    <row r="9" spans="2:31" x14ac:dyDescent="0.25">
      <c r="B9" s="10"/>
      <c r="C9" s="2">
        <v>3.34</v>
      </c>
      <c r="D9" s="2">
        <v>3.9</v>
      </c>
      <c r="E9" s="2">
        <v>4.6900000000000004</v>
      </c>
      <c r="F9" s="2">
        <v>5.31</v>
      </c>
      <c r="G9" s="2">
        <v>5.97</v>
      </c>
      <c r="H9" s="2">
        <v>6.66</v>
      </c>
      <c r="J9" s="10"/>
      <c r="K9" s="2" t="s">
        <v>19</v>
      </c>
      <c r="L9" s="2">
        <f>(0.487*0.046)/2*(9.82-L7)</f>
        <v>0.10859092400205166</v>
      </c>
      <c r="M9" s="2">
        <f t="shared" ref="M9:Q9" si="13">(0.487*0.046)/2*(9.82-M7)</f>
        <v>0.10890211220069479</v>
      </c>
      <c r="N9" s="2">
        <f t="shared" si="13"/>
        <v>0.10925807419332977</v>
      </c>
      <c r="O9" s="2">
        <f t="shared" si="13"/>
        <v>0.10944458235333857</v>
      </c>
      <c r="P9" s="2">
        <f t="shared" si="13"/>
        <v>0.1095178703101895</v>
      </c>
      <c r="Q9" s="2">
        <f t="shared" si="13"/>
        <v>0.10962979106083863</v>
      </c>
      <c r="S9" s="6">
        <f>1.85</f>
        <v>1.85</v>
      </c>
      <c r="T9" s="8">
        <f t="shared" si="1"/>
        <v>4.5656691859767673E-2</v>
      </c>
      <c r="U9" s="8">
        <f t="shared" si="2"/>
        <v>5.5196039541851219E-2</v>
      </c>
      <c r="V9" s="8">
        <f t="shared" si="3"/>
        <v>7.1393585771162435E-2</v>
      </c>
      <c r="W9" s="8">
        <f t="shared" si="4"/>
        <v>9.2763861581133727E-2</v>
      </c>
      <c r="X9" s="8">
        <f t="shared" si="5"/>
        <v>0.10856587846909761</v>
      </c>
      <c r="Y9" s="8">
        <f t="shared" si="6"/>
        <v>0.13802901549868821</v>
      </c>
      <c r="AD9">
        <v>0.11</v>
      </c>
    </row>
    <row r="10" spans="2:31" x14ac:dyDescent="0.25">
      <c r="B10" s="10"/>
      <c r="C10" s="2">
        <v>3.31</v>
      </c>
      <c r="D10" s="2">
        <v>3.78</v>
      </c>
      <c r="E10" s="2">
        <v>4.5599999999999996</v>
      </c>
      <c r="F10" s="2">
        <v>5.37</v>
      </c>
      <c r="G10" s="2">
        <v>5.62</v>
      </c>
      <c r="H10" s="2">
        <v>6.62</v>
      </c>
      <c r="J10" s="10" t="s">
        <v>15</v>
      </c>
      <c r="K10" s="2" t="s">
        <v>17</v>
      </c>
      <c r="L10" s="2">
        <f>(2*0.7)/C15^2</f>
        <v>0.20343284859268063</v>
      </c>
      <c r="M10" s="2">
        <f t="shared" ref="M10:Q10" si="14">(2*0.7)/D15^2</f>
        <v>0.13586824662027741</v>
      </c>
      <c r="N10" s="2">
        <f t="shared" si="14"/>
        <v>0.10356655260646597</v>
      </c>
      <c r="O10" s="2">
        <f t="shared" si="14"/>
        <v>7.7024600801667148E-2</v>
      </c>
      <c r="P10" s="2">
        <f t="shared" si="14"/>
        <v>6.4840297318493459E-2</v>
      </c>
      <c r="Q10" s="2">
        <f t="shared" si="14"/>
        <v>4.9839800640797433E-2</v>
      </c>
      <c r="S10" s="6">
        <f>1.95</f>
        <v>1.95</v>
      </c>
      <c r="T10" s="8">
        <f t="shared" si="1"/>
        <v>4.7244317244554856E-2</v>
      </c>
      <c r="U10" s="8">
        <f t="shared" si="2"/>
        <v>5.7537982004558383E-2</v>
      </c>
      <c r="V10" s="8">
        <f t="shared" si="3"/>
        <v>7.4845420068598317E-2</v>
      </c>
      <c r="W10" s="8">
        <f t="shared" si="4"/>
        <v>9.7394672247536493E-2</v>
      </c>
      <c r="X10" s="8">
        <f t="shared" si="5"/>
        <v>0.11391078726399652</v>
      </c>
      <c r="Y10" s="8">
        <f t="shared" si="6"/>
        <v>0.14501912666903191</v>
      </c>
    </row>
    <row r="11" spans="2:31" x14ac:dyDescent="0.25">
      <c r="B11" s="10"/>
      <c r="C11" s="2">
        <f>AVERAGE(C8:C10)</f>
        <v>3.3433333333333333</v>
      </c>
      <c r="D11" s="2">
        <f t="shared" ref="D11:G11" si="15">AVERAGE(D8:D10)</f>
        <v>3.7899999999999996</v>
      </c>
      <c r="E11" s="2">
        <f t="shared" si="15"/>
        <v>4.6166666666666663</v>
      </c>
      <c r="F11" s="2">
        <f t="shared" si="15"/>
        <v>5.3433333333333337</v>
      </c>
      <c r="G11" s="2">
        <f t="shared" si="15"/>
        <v>5.7399999999999993</v>
      </c>
      <c r="H11" s="2">
        <f>AVERAGE(H8:H10)</f>
        <v>6.5633333333333335</v>
      </c>
      <c r="I11" t="s">
        <v>11</v>
      </c>
      <c r="J11" s="10"/>
      <c r="K11" s="2" t="s">
        <v>18</v>
      </c>
      <c r="L11" s="2">
        <f>(2*L10)/0.046</f>
        <v>8.8449064605513321</v>
      </c>
      <c r="M11" s="2">
        <f t="shared" ref="M11:Q11" si="16">(2*M10)/0.046</f>
        <v>5.9073150704468445</v>
      </c>
      <c r="N11" s="2">
        <f t="shared" si="16"/>
        <v>4.5028935915854769</v>
      </c>
      <c r="O11" s="2">
        <f t="shared" si="16"/>
        <v>3.3488956870290063</v>
      </c>
      <c r="P11" s="2">
        <f t="shared" si="16"/>
        <v>2.8191433616736288</v>
      </c>
      <c r="Q11" s="2">
        <f t="shared" si="16"/>
        <v>2.1669478539477143</v>
      </c>
      <c r="S11" s="6">
        <f t="shared" si="9"/>
        <v>2.15</v>
      </c>
      <c r="T11" s="8">
        <f t="shared" si="1"/>
        <v>5.041956801412923E-2</v>
      </c>
      <c r="U11" s="8">
        <f t="shared" si="2"/>
        <v>6.2221866929972711E-2</v>
      </c>
      <c r="V11" s="8">
        <f t="shared" si="3"/>
        <v>8.1749088663470068E-2</v>
      </c>
      <c r="W11" s="8">
        <f t="shared" si="4"/>
        <v>0.10665629358034204</v>
      </c>
      <c r="X11" s="8">
        <f t="shared" si="5"/>
        <v>0.12460060485379436</v>
      </c>
      <c r="Y11" s="8">
        <f t="shared" si="6"/>
        <v>0.15899934900971932</v>
      </c>
      <c r="AA11">
        <v>0.06</v>
      </c>
      <c r="AC11">
        <v>0.11</v>
      </c>
      <c r="AE11">
        <v>0.16</v>
      </c>
    </row>
    <row r="12" spans="2:31" x14ac:dyDescent="0.25">
      <c r="B12" s="10" t="s">
        <v>10</v>
      </c>
      <c r="C12" s="2">
        <v>2.56</v>
      </c>
      <c r="D12" s="2">
        <v>3.34</v>
      </c>
      <c r="E12" s="2">
        <v>3.82</v>
      </c>
      <c r="F12" s="2">
        <v>4.25</v>
      </c>
      <c r="G12" s="2">
        <v>4.5999999999999996</v>
      </c>
      <c r="H12" s="2">
        <v>5.37</v>
      </c>
      <c r="J12" s="10"/>
      <c r="K12" s="2" t="s">
        <v>19</v>
      </c>
      <c r="L12" s="2">
        <f>(0.707*0.046)/2*(9.82-L10)</f>
        <v>0.15637499844903441</v>
      </c>
      <c r="M12" s="2">
        <f t="shared" ref="M12:Q12" si="17">(0.707*0.046)/2*(9.82-M10)</f>
        <v>0.15747366644170765</v>
      </c>
      <c r="N12" s="2">
        <f t="shared" si="17"/>
        <v>0.15799892428806622</v>
      </c>
      <c r="O12" s="2">
        <f t="shared" si="17"/>
        <v>0.15843052296636406</v>
      </c>
      <c r="P12" s="2">
        <f t="shared" si="17"/>
        <v>0.15862865192530395</v>
      </c>
      <c r="Q12" s="2">
        <f t="shared" si="17"/>
        <v>0.15887257500177998</v>
      </c>
      <c r="S12" s="6">
        <f t="shared" si="9"/>
        <v>2.35</v>
      </c>
      <c r="T12" s="8">
        <f t="shared" si="1"/>
        <v>5.3594818783703611E-2</v>
      </c>
      <c r="U12" s="8">
        <f t="shared" si="2"/>
        <v>6.6905751855387052E-2</v>
      </c>
      <c r="V12" s="8">
        <f t="shared" si="3"/>
        <v>8.8652757258341833E-2</v>
      </c>
      <c r="W12" s="8">
        <f t="shared" si="4"/>
        <v>0.11591791491314758</v>
      </c>
      <c r="X12" s="8">
        <f t="shared" si="5"/>
        <v>0.13529042244359218</v>
      </c>
      <c r="Y12" s="8">
        <f t="shared" si="6"/>
        <v>0.17297957135040673</v>
      </c>
    </row>
    <row r="13" spans="2:31" x14ac:dyDescent="0.25">
      <c r="B13" s="10"/>
      <c r="C13" s="2">
        <v>2.62</v>
      </c>
      <c r="D13" s="2">
        <v>3.13</v>
      </c>
      <c r="E13" s="2">
        <v>3.72</v>
      </c>
      <c r="F13" s="2">
        <v>4.28</v>
      </c>
      <c r="G13" s="2">
        <v>4.6500000000000004</v>
      </c>
      <c r="H13" s="2">
        <v>5.28</v>
      </c>
      <c r="J13" s="10" t="s">
        <v>16</v>
      </c>
      <c r="K13" s="2" t="s">
        <v>17</v>
      </c>
      <c r="L13" s="2">
        <f>(2*0.7)/C19^2</f>
        <v>0.27329456599304619</v>
      </c>
      <c r="M13" s="2">
        <f t="shared" ref="M13:Q13" si="18">(2*0.7)/D19^2</f>
        <v>0.19347438537333647</v>
      </c>
      <c r="N13" s="2">
        <f t="shared" si="18"/>
        <v>0.13092799895257601</v>
      </c>
      <c r="O13" s="2">
        <f t="shared" si="18"/>
        <v>9.8676482105098315E-2</v>
      </c>
      <c r="P13" s="2">
        <f t="shared" si="18"/>
        <v>8.4793611676214908E-2</v>
      </c>
      <c r="Q13" s="2">
        <f t="shared" si="18"/>
        <v>6.5496429145079249E-2</v>
      </c>
      <c r="S13" s="6">
        <f t="shared" si="9"/>
        <v>2.5500000000000003</v>
      </c>
      <c r="T13" s="8">
        <f t="shared" si="1"/>
        <v>5.6770069553277985E-2</v>
      </c>
      <c r="U13" s="8">
        <f t="shared" si="2"/>
        <v>7.158963678080138E-2</v>
      </c>
      <c r="V13" s="8">
        <f t="shared" si="3"/>
        <v>9.5556425853213597E-2</v>
      </c>
      <c r="W13" s="8">
        <f t="shared" si="4"/>
        <v>0.12517953624595313</v>
      </c>
      <c r="X13" s="8">
        <f t="shared" si="5"/>
        <v>0.14598024003339005</v>
      </c>
      <c r="Y13" s="8">
        <f t="shared" si="6"/>
        <v>0.18695979369109414</v>
      </c>
    </row>
    <row r="14" spans="2:31" x14ac:dyDescent="0.25">
      <c r="B14" s="10"/>
      <c r="C14" s="2">
        <v>2.69</v>
      </c>
      <c r="D14" s="2">
        <v>3.16</v>
      </c>
      <c r="E14" s="2">
        <v>3.49</v>
      </c>
      <c r="F14" s="2">
        <v>4.26</v>
      </c>
      <c r="G14" s="2">
        <v>4.6900000000000004</v>
      </c>
      <c r="H14" s="2">
        <v>5.25</v>
      </c>
      <c r="J14" s="10"/>
      <c r="K14" s="2" t="s">
        <v>18</v>
      </c>
      <c r="L14" s="2">
        <f>(2*L13)/0.046</f>
        <v>11.882372434480269</v>
      </c>
      <c r="M14" s="2">
        <f t="shared" ref="M14:Q14" si="19">(2*M13)/0.046</f>
        <v>8.4119297988407169</v>
      </c>
      <c r="N14" s="2">
        <f t="shared" si="19"/>
        <v>5.6925216935902609</v>
      </c>
      <c r="O14" s="2">
        <f t="shared" si="19"/>
        <v>4.2902818306564487</v>
      </c>
      <c r="P14" s="2">
        <f t="shared" si="19"/>
        <v>3.6866787685310829</v>
      </c>
      <c r="Q14" s="2">
        <f t="shared" si="19"/>
        <v>2.8476708323947499</v>
      </c>
      <c r="S14" s="6">
        <f>2.86</f>
        <v>2.86</v>
      </c>
      <c r="T14" s="8">
        <f t="shared" si="1"/>
        <v>6.1691708246118256E-2</v>
      </c>
      <c r="U14" s="8">
        <f t="shared" si="2"/>
        <v>7.8849658415193591E-2</v>
      </c>
      <c r="V14" s="8">
        <f t="shared" si="3"/>
        <v>0.1062571121752648</v>
      </c>
      <c r="W14" s="8">
        <f t="shared" si="4"/>
        <v>0.13953504931180169</v>
      </c>
      <c r="X14" s="8">
        <f t="shared" si="5"/>
        <v>0.16254945729757669</v>
      </c>
      <c r="Y14" s="8">
        <f t="shared" si="6"/>
        <v>0.20862913831915958</v>
      </c>
      <c r="AB14">
        <v>0.11</v>
      </c>
      <c r="AD14">
        <v>0.16</v>
      </c>
      <c r="AE14">
        <v>0.21</v>
      </c>
    </row>
    <row r="15" spans="2:31" x14ac:dyDescent="0.25">
      <c r="B15" s="10"/>
      <c r="C15" s="2">
        <f>AVERAGE(C12:C14)</f>
        <v>2.6233333333333331</v>
      </c>
      <c r="D15" s="2">
        <f t="shared" ref="D15:H15" si="20">AVERAGE(D12:D14)</f>
        <v>3.2099999999999995</v>
      </c>
      <c r="E15" s="2">
        <f t="shared" si="20"/>
        <v>3.6766666666666672</v>
      </c>
      <c r="F15" s="2">
        <f t="shared" si="20"/>
        <v>4.2633333333333336</v>
      </c>
      <c r="G15" s="2">
        <f t="shared" si="20"/>
        <v>4.6466666666666674</v>
      </c>
      <c r="H15" s="2">
        <f t="shared" si="20"/>
        <v>5.3</v>
      </c>
      <c r="I15" t="s">
        <v>11</v>
      </c>
      <c r="J15" s="10"/>
      <c r="K15" s="2" t="s">
        <v>19</v>
      </c>
      <c r="L15" s="2">
        <f>(0.927*0.046)/2*(9.82-L13)</f>
        <v>0.20354530655846226</v>
      </c>
      <c r="M15" s="2">
        <f t="shared" ref="M15:Q15" si="21">(0.927*0.046)/2*(9.82-M13)</f>
        <v>0.20524715262945509</v>
      </c>
      <c r="N15" s="2">
        <f t="shared" si="21"/>
        <v>0.20658070413433213</v>
      </c>
      <c r="O15" s="2">
        <f t="shared" si="21"/>
        <v>0.20726833872503719</v>
      </c>
      <c r="P15" s="2">
        <f t="shared" si="21"/>
        <v>0.20756433540545141</v>
      </c>
      <c r="Q15" s="2">
        <f t="shared" si="21"/>
        <v>0.20797577063419775</v>
      </c>
      <c r="S15" s="6">
        <f>2.95</f>
        <v>2.95</v>
      </c>
      <c r="T15" s="8">
        <f t="shared" si="1"/>
        <v>6.3120571092426733E-2</v>
      </c>
      <c r="U15" s="8">
        <f t="shared" si="2"/>
        <v>8.0957406631630049E-2</v>
      </c>
      <c r="V15" s="8">
        <f t="shared" si="3"/>
        <v>0.10936376304295711</v>
      </c>
      <c r="W15" s="8">
        <f t="shared" si="4"/>
        <v>0.14370277891156419</v>
      </c>
      <c r="X15" s="8">
        <f t="shared" si="5"/>
        <v>0.16735987521298573</v>
      </c>
      <c r="Y15" s="8">
        <f t="shared" si="6"/>
        <v>0.21492023837246893</v>
      </c>
      <c r="Z15">
        <v>0.06</v>
      </c>
    </row>
    <row r="16" spans="2:31" x14ac:dyDescent="0.25">
      <c r="B16" s="10" t="s">
        <v>12</v>
      </c>
      <c r="C16" s="2">
        <v>2.2200000000000002</v>
      </c>
      <c r="D16" s="2">
        <v>2.66</v>
      </c>
      <c r="E16" s="2">
        <v>3.25</v>
      </c>
      <c r="F16" s="2">
        <v>3.81</v>
      </c>
      <c r="G16" s="2">
        <v>3.97</v>
      </c>
      <c r="H16" s="2">
        <v>4.5599999999999996</v>
      </c>
      <c r="S16" s="6">
        <f t="shared" si="9"/>
        <v>3.1500000000000004</v>
      </c>
      <c r="T16" s="8">
        <f t="shared" si="1"/>
        <v>6.6295821862001114E-2</v>
      </c>
      <c r="U16" s="8">
        <f t="shared" si="2"/>
        <v>8.5641291557044377E-2</v>
      </c>
      <c r="V16" s="8">
        <f t="shared" si="3"/>
        <v>0.11626743163782888</v>
      </c>
      <c r="W16" s="8">
        <f t="shared" si="4"/>
        <v>0.15296440024436975</v>
      </c>
      <c r="X16" s="8">
        <f t="shared" si="5"/>
        <v>0.1780496928027836</v>
      </c>
      <c r="Y16" s="8">
        <f t="shared" si="6"/>
        <v>0.22890046071315634</v>
      </c>
    </row>
    <row r="17" spans="2:30" x14ac:dyDescent="0.25">
      <c r="B17" s="10"/>
      <c r="C17" s="2">
        <v>2.29</v>
      </c>
      <c r="D17" s="2">
        <v>2.69</v>
      </c>
      <c r="E17" s="2">
        <v>3.25</v>
      </c>
      <c r="F17" s="2">
        <v>3.71</v>
      </c>
      <c r="G17" s="2">
        <v>4.0999999999999996</v>
      </c>
      <c r="H17" s="2">
        <v>4.53</v>
      </c>
      <c r="K17" s="3"/>
      <c r="L17" s="3">
        <v>1</v>
      </c>
      <c r="M17" s="3">
        <v>2</v>
      </c>
      <c r="N17" s="3">
        <v>3</v>
      </c>
      <c r="O17" s="3">
        <v>4</v>
      </c>
      <c r="P17" s="3">
        <v>5</v>
      </c>
      <c r="Q17" s="3">
        <v>6</v>
      </c>
      <c r="S17" s="6">
        <f t="shared" si="9"/>
        <v>3.3500000000000005</v>
      </c>
      <c r="T17" s="8">
        <f t="shared" si="1"/>
        <v>6.9471072631575481E-2</v>
      </c>
      <c r="U17" s="8">
        <f t="shared" si="2"/>
        <v>9.0325176482458719E-2</v>
      </c>
      <c r="V17" s="8">
        <f t="shared" si="3"/>
        <v>0.12317110023270063</v>
      </c>
      <c r="W17" s="8">
        <f t="shared" si="4"/>
        <v>0.16222602157717531</v>
      </c>
      <c r="X17" s="8">
        <f t="shared" si="5"/>
        <v>0.18873951039258141</v>
      </c>
      <c r="Y17" s="8">
        <f t="shared" si="6"/>
        <v>0.24288068305384375</v>
      </c>
      <c r="AC17">
        <v>0.16</v>
      </c>
    </row>
    <row r="18" spans="2:30" x14ac:dyDescent="0.25">
      <c r="B18" s="10"/>
      <c r="C18" s="2">
        <v>2.2799999999999998</v>
      </c>
      <c r="D18" s="2">
        <v>2.72</v>
      </c>
      <c r="E18" s="2">
        <v>3.31</v>
      </c>
      <c r="F18" s="2">
        <v>3.78</v>
      </c>
      <c r="G18" s="2">
        <v>4.12</v>
      </c>
      <c r="H18" s="2">
        <v>4.78</v>
      </c>
      <c r="K18" s="9" t="s">
        <v>20</v>
      </c>
      <c r="L18" s="2">
        <f t="shared" ref="L18:Q19" si="22">AVERAGE(L5,L8,L11,L14)</f>
        <v>7.2946804945403212</v>
      </c>
      <c r="M18" s="2">
        <f t="shared" si="22"/>
        <v>5.1682338760744484</v>
      </c>
      <c r="N18" s="2">
        <f t="shared" si="22"/>
        <v>3.6486812406993776</v>
      </c>
      <c r="O18" s="2">
        <f t="shared" si="22"/>
        <v>2.7365975688526967</v>
      </c>
      <c r="P18" s="2">
        <f t="shared" si="22"/>
        <v>2.3253031340348418</v>
      </c>
      <c r="Q18" s="2">
        <f t="shared" si="22"/>
        <v>1.7947811141252634</v>
      </c>
      <c r="S18" s="6">
        <f t="shared" si="9"/>
        <v>3.5500000000000007</v>
      </c>
      <c r="T18" s="8">
        <f t="shared" si="1"/>
        <v>7.2646323401149862E-2</v>
      </c>
      <c r="U18" s="8">
        <f t="shared" si="2"/>
        <v>9.5009061407873061E-2</v>
      </c>
      <c r="V18" s="8">
        <f t="shared" si="3"/>
        <v>0.13007476882757241</v>
      </c>
      <c r="W18" s="8">
        <f t="shared" si="4"/>
        <v>0.17148764290998084</v>
      </c>
      <c r="X18" s="8">
        <f t="shared" si="5"/>
        <v>0.19942932798237928</v>
      </c>
      <c r="Y18" s="8">
        <f t="shared" si="6"/>
        <v>0.25686090539453116</v>
      </c>
    </row>
    <row r="19" spans="2:30" x14ac:dyDescent="0.25">
      <c r="B19" s="10"/>
      <c r="C19" s="2">
        <f>AVERAGE(C16:C18)</f>
        <v>2.2633333333333332</v>
      </c>
      <c r="D19" s="2">
        <f t="shared" ref="D19:H19" si="23">AVERAGE(D16:D18)</f>
        <v>2.69</v>
      </c>
      <c r="E19" s="2">
        <f t="shared" si="23"/>
        <v>3.27</v>
      </c>
      <c r="F19" s="2">
        <f t="shared" si="23"/>
        <v>3.7666666666666662</v>
      </c>
      <c r="G19" s="2">
        <f t="shared" si="23"/>
        <v>4.0633333333333335</v>
      </c>
      <c r="H19" s="2">
        <f t="shared" si="23"/>
        <v>4.623333333333334</v>
      </c>
      <c r="I19" t="s">
        <v>11</v>
      </c>
      <c r="K19" s="2" t="s">
        <v>21</v>
      </c>
      <c r="L19" s="2">
        <f t="shared" si="22"/>
        <v>0.13209782151164634</v>
      </c>
      <c r="M19" s="2">
        <f t="shared" si="22"/>
        <v>0.1329071676975726</v>
      </c>
      <c r="N19" s="2">
        <f t="shared" si="22"/>
        <v>0.13348108173916876</v>
      </c>
      <c r="O19" s="2">
        <f t="shared" si="22"/>
        <v>0.13382051636763204</v>
      </c>
      <c r="P19" s="2">
        <f t="shared" si="22"/>
        <v>0.13397039748255607</v>
      </c>
      <c r="Q19" s="2">
        <f t="shared" si="22"/>
        <v>0.13416915398901891</v>
      </c>
      <c r="S19" s="6">
        <f>3.69</f>
        <v>3.69</v>
      </c>
      <c r="T19" s="8">
        <f t="shared" si="1"/>
        <v>7.4868998939851911E-2</v>
      </c>
      <c r="U19" s="8">
        <f t="shared" si="2"/>
        <v>9.8287780855663073E-2</v>
      </c>
      <c r="V19" s="8">
        <f t="shared" si="3"/>
        <v>0.13490733684398259</v>
      </c>
      <c r="W19" s="8">
        <f t="shared" si="4"/>
        <v>0.17797077784294468</v>
      </c>
      <c r="X19" s="8">
        <f t="shared" si="5"/>
        <v>0.20691220029523771</v>
      </c>
      <c r="Y19" s="8">
        <f t="shared" si="6"/>
        <v>0.26664706103301228</v>
      </c>
      <c r="AD19">
        <v>0.21</v>
      </c>
    </row>
    <row r="20" spans="2:30" x14ac:dyDescent="0.25">
      <c r="B20" s="1"/>
      <c r="K20" s="9" t="s">
        <v>22</v>
      </c>
      <c r="L20" s="4">
        <f t="shared" ref="L20:Q20" si="24">((L5-L18)*(L6-L19)+(L8-L18)*(L9-L19)+(L11-L18)*(L12-L19)+(L14-L18)*(L15-L19))/SUMSQ(L5-L18,L8-L18,L11-L18,L14-L18)</f>
        <v>1.5876253847871866E-2</v>
      </c>
      <c r="M20" s="4">
        <f t="shared" si="24"/>
        <v>2.341942462707166E-2</v>
      </c>
      <c r="N20" s="4">
        <f t="shared" si="24"/>
        <v>3.4518342974358789E-2</v>
      </c>
      <c r="O20" s="4">
        <f t="shared" si="24"/>
        <v>4.6308106664027696E-2</v>
      </c>
      <c r="P20" s="4">
        <f t="shared" si="24"/>
        <v>5.3449087948989192E-2</v>
      </c>
      <c r="Q20" s="4">
        <f t="shared" si="24"/>
        <v>6.9901111703437005E-2</v>
      </c>
      <c r="S20" s="6">
        <f t="shared" si="9"/>
        <v>3.89</v>
      </c>
      <c r="T20" s="8">
        <f t="shared" si="1"/>
        <v>7.8044249709426278E-2</v>
      </c>
      <c r="U20" s="8">
        <f t="shared" si="2"/>
        <v>0.1029716657810774</v>
      </c>
      <c r="V20" s="8">
        <f t="shared" si="3"/>
        <v>0.14181100543885436</v>
      </c>
      <c r="W20" s="8">
        <f t="shared" si="4"/>
        <v>0.18723239917575024</v>
      </c>
      <c r="X20" s="8">
        <f t="shared" si="5"/>
        <v>0.21760201788503558</v>
      </c>
      <c r="Y20" s="8">
        <f t="shared" si="6"/>
        <v>0.28062728337369969</v>
      </c>
    </row>
    <row r="21" spans="2:30" x14ac:dyDescent="0.25">
      <c r="B21" s="1"/>
      <c r="D21" t="s">
        <v>26</v>
      </c>
      <c r="E21" t="s">
        <v>29</v>
      </c>
      <c r="K21" s="9" t="s">
        <v>23</v>
      </c>
      <c r="L21" s="2">
        <f t="shared" ref="L21:Q21" si="25">L19-L20*L18</f>
        <v>1.6285622241204722E-2</v>
      </c>
      <c r="M21" s="2">
        <f t="shared" si="25"/>
        <v>1.1870103981768645E-2</v>
      </c>
      <c r="N21" s="4">
        <f t="shared" si="25"/>
        <v>7.5346512685986744E-3</v>
      </c>
      <c r="O21" s="4">
        <f t="shared" si="25"/>
        <v>7.0938642526824913E-3</v>
      </c>
      <c r="P21" s="2">
        <f t="shared" si="25"/>
        <v>9.6850657634676013E-3</v>
      </c>
      <c r="Q21" s="2">
        <f t="shared" si="25"/>
        <v>8.7119588473297538E-3</v>
      </c>
      <c r="S21" s="6">
        <f t="shared" si="9"/>
        <v>4.09</v>
      </c>
      <c r="T21" s="8">
        <f t="shared" si="1"/>
        <v>8.1219500479000659E-2</v>
      </c>
      <c r="U21" s="8">
        <f t="shared" si="2"/>
        <v>0.10765555070649173</v>
      </c>
      <c r="V21" s="8">
        <f t="shared" si="3"/>
        <v>0.14871467403372612</v>
      </c>
      <c r="W21" s="8">
        <f t="shared" si="4"/>
        <v>0.19649402050855577</v>
      </c>
      <c r="X21" s="8">
        <f t="shared" si="5"/>
        <v>0.22829183547483339</v>
      </c>
      <c r="Y21" s="8">
        <f t="shared" si="6"/>
        <v>0.2946075057143871</v>
      </c>
    </row>
    <row r="22" spans="2:30" x14ac:dyDescent="0.25">
      <c r="B22" s="1"/>
      <c r="D22" s="8" cm="1">
        <f t="array" ref="D22">SUM((L23:Q23-K26)*(L20:Q20-L26))/SUMSQ(L23:Q23-K26)/4</f>
        <v>0.37799382868524817</v>
      </c>
      <c r="E22" s="7">
        <f>L26-4*D22*K26</f>
        <v>8.399098674774369E-3</v>
      </c>
      <c r="K22" s="9" t="s">
        <v>24</v>
      </c>
      <c r="L22" s="2">
        <f t="shared" ref="L22:Q22" si="26">0.057 + (L17-1)*0.025 + 0.02</f>
        <v>7.6999999999999999E-2</v>
      </c>
      <c r="M22" s="2">
        <f t="shared" si="26"/>
        <v>0.10200000000000001</v>
      </c>
      <c r="N22" s="2">
        <f t="shared" si="26"/>
        <v>0.127</v>
      </c>
      <c r="O22" s="2">
        <f t="shared" si="26"/>
        <v>0.152</v>
      </c>
      <c r="P22" s="2">
        <f t="shared" si="26"/>
        <v>0.17699999999999999</v>
      </c>
      <c r="Q22" s="2">
        <f t="shared" si="26"/>
        <v>0.20199999999999999</v>
      </c>
      <c r="S22" s="6">
        <f>4.24</f>
        <v>4.24</v>
      </c>
      <c r="T22" s="8">
        <f t="shared" si="1"/>
        <v>8.3600938556181434E-2</v>
      </c>
      <c r="U22" s="8">
        <f t="shared" si="2"/>
        <v>0.11116846440055249</v>
      </c>
      <c r="V22" s="8">
        <f t="shared" si="3"/>
        <v>0.15389242547987994</v>
      </c>
      <c r="W22" s="8">
        <f t="shared" si="4"/>
        <v>0.20344023650815993</v>
      </c>
      <c r="X22" s="8">
        <f t="shared" si="5"/>
        <v>0.23630919866718181</v>
      </c>
      <c r="Y22" s="8">
        <f t="shared" si="6"/>
        <v>0.30509267246990268</v>
      </c>
      <c r="AA22">
        <v>0.11</v>
      </c>
      <c r="AC22">
        <v>0.21</v>
      </c>
    </row>
    <row r="23" spans="2:30" x14ac:dyDescent="0.25">
      <c r="B23" s="1"/>
      <c r="K23" s="9" t="s">
        <v>25</v>
      </c>
      <c r="L23" s="4">
        <f>L22^2</f>
        <v>5.9290000000000002E-3</v>
      </c>
      <c r="M23" s="4">
        <f t="shared" ref="M23:Q23" si="27">M22^2</f>
        <v>1.0404000000000002E-2</v>
      </c>
      <c r="N23" s="4">
        <f t="shared" si="27"/>
        <v>1.6129000000000001E-2</v>
      </c>
      <c r="O23" s="4">
        <f t="shared" si="27"/>
        <v>2.3104E-2</v>
      </c>
      <c r="P23" s="4">
        <f t="shared" si="27"/>
        <v>3.1328999999999996E-2</v>
      </c>
      <c r="Q23" s="4">
        <f t="shared" si="27"/>
        <v>4.0803999999999993E-2</v>
      </c>
      <c r="S23" s="6">
        <f t="shared" si="9"/>
        <v>4.4400000000000004</v>
      </c>
      <c r="T23" s="8">
        <f t="shared" si="1"/>
        <v>8.6776189325755815E-2</v>
      </c>
      <c r="U23" s="8">
        <f t="shared" si="2"/>
        <v>0.11585234932596683</v>
      </c>
      <c r="V23" s="8">
        <f t="shared" si="3"/>
        <v>0.16079609407475171</v>
      </c>
      <c r="W23" s="8">
        <f t="shared" si="4"/>
        <v>0.21270185784096549</v>
      </c>
      <c r="X23" s="8">
        <f t="shared" si="5"/>
        <v>0.24699901625697962</v>
      </c>
      <c r="Y23" s="8">
        <f t="shared" si="6"/>
        <v>0.31907289481059009</v>
      </c>
      <c r="AB23">
        <v>0.16</v>
      </c>
    </row>
    <row r="24" spans="2:30" x14ac:dyDescent="0.25">
      <c r="D24" t="s">
        <v>30</v>
      </c>
      <c r="E24" t="s">
        <v>31</v>
      </c>
      <c r="S24" s="6">
        <f t="shared" si="9"/>
        <v>4.6400000000000006</v>
      </c>
      <c r="T24" s="8">
        <f t="shared" si="1"/>
        <v>8.9951440095330196E-2</v>
      </c>
      <c r="U24" s="8">
        <f t="shared" si="2"/>
        <v>0.12053623425138116</v>
      </c>
      <c r="V24" s="8">
        <f t="shared" si="3"/>
        <v>0.16769976266962347</v>
      </c>
      <c r="W24" s="8">
        <f t="shared" si="4"/>
        <v>0.22196347917377102</v>
      </c>
      <c r="X24" s="8">
        <f t="shared" si="5"/>
        <v>0.25768883384677749</v>
      </c>
      <c r="Y24" s="8">
        <f t="shared" si="6"/>
        <v>0.3330531171512775</v>
      </c>
    </row>
    <row r="25" spans="2:30" x14ac:dyDescent="0.25">
      <c r="D25" s="7" cm="1">
        <f t="array" ref="D25">(SUMSQ(C4:C6-C7)/(6))^0.5</f>
        <v>4.5825756949558302E-2</v>
      </c>
      <c r="E25" s="7">
        <f>4.3*D25</f>
        <v>0.1970507548831007</v>
      </c>
      <c r="K25" s="6" t="s">
        <v>27</v>
      </c>
      <c r="L25" t="s">
        <v>28</v>
      </c>
      <c r="S25" s="6">
        <f t="shared" si="9"/>
        <v>4.8400000000000007</v>
      </c>
      <c r="T25" s="8">
        <f t="shared" si="1"/>
        <v>9.3126690864904563E-2</v>
      </c>
      <c r="U25" s="8">
        <f t="shared" si="2"/>
        <v>0.12522011917679549</v>
      </c>
      <c r="V25" s="8">
        <f t="shared" si="3"/>
        <v>0.17460343126449523</v>
      </c>
      <c r="W25" s="8">
        <f t="shared" si="4"/>
        <v>0.23122510050657658</v>
      </c>
      <c r="X25" s="8">
        <f t="shared" si="5"/>
        <v>0.26837865143657536</v>
      </c>
      <c r="Y25" s="8">
        <f t="shared" si="6"/>
        <v>0.34703333949196491</v>
      </c>
    </row>
    <row r="26" spans="2:30" x14ac:dyDescent="0.25">
      <c r="K26" s="7">
        <f>AVERAGE(L23:Q23)</f>
        <v>2.1283166666666669E-2</v>
      </c>
      <c r="L26" s="7">
        <f>AVERAGE(L20:Q20)</f>
        <v>4.0578721294292706E-2</v>
      </c>
      <c r="S26" s="6">
        <f t="shared" si="9"/>
        <v>5.0400000000000009</v>
      </c>
      <c r="T26" s="8">
        <f t="shared" si="1"/>
        <v>9.6301941634478944E-2</v>
      </c>
      <c r="U26" s="8">
        <f t="shared" si="2"/>
        <v>0.12990400410220981</v>
      </c>
      <c r="V26" s="8">
        <f t="shared" si="3"/>
        <v>0.181507099859367</v>
      </c>
      <c r="W26" s="8">
        <f t="shared" si="4"/>
        <v>0.24048672183938213</v>
      </c>
      <c r="X26" s="8">
        <f t="shared" si="5"/>
        <v>0.27906846902637317</v>
      </c>
      <c r="Y26" s="8">
        <f t="shared" si="6"/>
        <v>0.36101356183265232</v>
      </c>
    </row>
    <row r="27" spans="2:30" x14ac:dyDescent="0.25">
      <c r="C27" t="s">
        <v>34</v>
      </c>
      <c r="D27" t="s">
        <v>32</v>
      </c>
      <c r="S27" s="6">
        <f t="shared" si="9"/>
        <v>5.2400000000000011</v>
      </c>
      <c r="T27" s="8">
        <f t="shared" si="1"/>
        <v>9.9477192404053325E-2</v>
      </c>
      <c r="U27" s="8">
        <f t="shared" si="2"/>
        <v>0.13458788902762417</v>
      </c>
      <c r="V27" s="8">
        <f t="shared" si="3"/>
        <v>0.18841076845423876</v>
      </c>
      <c r="W27" s="8">
        <f t="shared" si="4"/>
        <v>0.24974834317218766</v>
      </c>
      <c r="X27" s="8">
        <f t="shared" si="5"/>
        <v>0.28975828661617103</v>
      </c>
      <c r="Y27" s="8">
        <f t="shared" si="6"/>
        <v>0.37499378417333973</v>
      </c>
    </row>
    <row r="28" spans="2:30" x14ac:dyDescent="0.25">
      <c r="C28" cm="1">
        <f t="array" ref="C28">SUMSQ(L23:Q23-AVERAGE(L23:Q23))</f>
        <v>8.6596927083333294E-4</v>
      </c>
      <c r="D28">
        <f>L20-($E$22+4*$D$22*L23)</f>
        <v>-1.4873464680018496E-3</v>
      </c>
      <c r="E28">
        <f t="shared" ref="E28:I28" si="28">M20-($E$22+4*$D$22*M23)</f>
        <v>-7.1026522226800073E-4</v>
      </c>
      <c r="F28">
        <f t="shared" si="28"/>
        <v>1.7325944481269492E-3</v>
      </c>
      <c r="G28">
        <f t="shared" si="28"/>
        <v>2.9763303174774325E-3</v>
      </c>
      <c r="H28">
        <f t="shared" si="28"/>
        <v>-2.3186853613057293E-3</v>
      </c>
      <c r="I28">
        <f t="shared" si="28"/>
        <v>-1.9262771402882295E-4</v>
      </c>
      <c r="K28" t="s">
        <v>35</v>
      </c>
      <c r="S28" s="6">
        <f>5.45</f>
        <v>5.45</v>
      </c>
      <c r="T28" s="8">
        <f t="shared" si="1"/>
        <v>0.10281120571210639</v>
      </c>
      <c r="U28" s="8">
        <f t="shared" si="2"/>
        <v>0.13950596819930922</v>
      </c>
      <c r="V28" s="8">
        <f t="shared" si="3"/>
        <v>0.19565962047885407</v>
      </c>
      <c r="W28" s="8">
        <f t="shared" si="4"/>
        <v>0.25947304557163342</v>
      </c>
      <c r="X28" s="8">
        <f t="shared" si="5"/>
        <v>0.30098259508545872</v>
      </c>
      <c r="Y28" s="8">
        <f t="shared" si="6"/>
        <v>0.38967301763106144</v>
      </c>
      <c r="Z28">
        <v>0.11</v>
      </c>
    </row>
    <row r="29" spans="2:30" x14ac:dyDescent="0.25">
      <c r="D29" t="s">
        <v>33</v>
      </c>
      <c r="K29" s="12">
        <f>K26^2</f>
        <v>4.5297318336111119E-4</v>
      </c>
      <c r="S29" s="6">
        <f t="shared" si="9"/>
        <v>5.65</v>
      </c>
      <c r="T29" s="8">
        <f t="shared" si="1"/>
        <v>0.10598645648168077</v>
      </c>
      <c r="U29" s="8">
        <f t="shared" si="2"/>
        <v>0.14418985312472354</v>
      </c>
      <c r="V29" s="8">
        <f t="shared" si="3"/>
        <v>0.20256328907372584</v>
      </c>
      <c r="W29" s="8">
        <f t="shared" si="4"/>
        <v>0.26873466690443898</v>
      </c>
      <c r="X29" s="8">
        <f t="shared" si="5"/>
        <v>0.31167241267525658</v>
      </c>
      <c r="Y29" s="8">
        <f t="shared" si="6"/>
        <v>0.40365323997174885</v>
      </c>
      <c r="AB29">
        <v>0.21</v>
      </c>
    </row>
    <row r="30" spans="2:30" x14ac:dyDescent="0.25">
      <c r="D30" s="12">
        <f>SUMSQ(D28:I28)</f>
        <v>1.9990509123202083E-5</v>
      </c>
      <c r="S30" s="6">
        <f t="shared" si="9"/>
        <v>5.8500000000000005</v>
      </c>
      <c r="T30" s="8">
        <f t="shared" si="1"/>
        <v>0.10916170725125515</v>
      </c>
      <c r="U30" s="8">
        <f t="shared" si="2"/>
        <v>0.14887373805013787</v>
      </c>
      <c r="V30" s="8">
        <f t="shared" si="3"/>
        <v>0.2094669576685976</v>
      </c>
      <c r="W30" s="8">
        <f t="shared" si="4"/>
        <v>0.27799628823724454</v>
      </c>
      <c r="X30" s="8">
        <f t="shared" si="5"/>
        <v>0.32236223026505439</v>
      </c>
      <c r="Y30" s="8">
        <f t="shared" si="6"/>
        <v>0.41763346231243625</v>
      </c>
      <c r="AA30">
        <v>0.16</v>
      </c>
    </row>
    <row r="31" spans="2:30" x14ac:dyDescent="0.25">
      <c r="S31" s="6">
        <f t="shared" si="9"/>
        <v>6.0500000000000007</v>
      </c>
      <c r="T31" s="8">
        <f t="shared" si="1"/>
        <v>0.11233695802082952</v>
      </c>
      <c r="U31" s="8">
        <f t="shared" si="2"/>
        <v>0.1535576229755522</v>
      </c>
      <c r="V31" s="8">
        <f t="shared" si="3"/>
        <v>0.21637062626346937</v>
      </c>
      <c r="W31" s="8">
        <f t="shared" si="4"/>
        <v>0.2872579095700501</v>
      </c>
      <c r="X31" s="8">
        <f t="shared" si="5"/>
        <v>0.33305204785485226</v>
      </c>
      <c r="Y31" s="8">
        <f t="shared" si="6"/>
        <v>0.43161368465312366</v>
      </c>
    </row>
    <row r="32" spans="2:30" x14ac:dyDescent="0.25">
      <c r="C32" t="s">
        <v>25</v>
      </c>
      <c r="D32" t="s">
        <v>22</v>
      </c>
      <c r="S32" s="6">
        <f t="shared" si="9"/>
        <v>6.2500000000000009</v>
      </c>
      <c r="T32" s="8">
        <f t="shared" si="1"/>
        <v>0.1155122087904039</v>
      </c>
      <c r="U32" s="8">
        <f t="shared" si="2"/>
        <v>0.15824150790096653</v>
      </c>
      <c r="V32" s="8">
        <f t="shared" si="3"/>
        <v>0.22327429485834113</v>
      </c>
      <c r="W32" s="8">
        <f t="shared" si="4"/>
        <v>0.29651953090285565</v>
      </c>
      <c r="X32" s="8">
        <f t="shared" si="5"/>
        <v>0.34374186544465013</v>
      </c>
      <c r="Y32" s="8">
        <f t="shared" si="6"/>
        <v>0.44559390699381107</v>
      </c>
    </row>
    <row r="33" spans="3:27" x14ac:dyDescent="0.25">
      <c r="C33">
        <v>0</v>
      </c>
      <c r="D33">
        <f>$E$22+4*$D$22*C33</f>
        <v>8.399098674774369E-3</v>
      </c>
      <c r="S33" s="6">
        <f t="shared" si="9"/>
        <v>6.4500000000000011</v>
      </c>
      <c r="T33" s="8">
        <f t="shared" si="1"/>
        <v>0.11868745955997828</v>
      </c>
      <c r="U33" s="8">
        <f t="shared" si="2"/>
        <v>0.16292539282638085</v>
      </c>
      <c r="V33" s="8">
        <f t="shared" si="3"/>
        <v>0.2301779634532129</v>
      </c>
      <c r="W33" s="8">
        <f t="shared" si="4"/>
        <v>0.30578115223566116</v>
      </c>
      <c r="X33" s="8">
        <f t="shared" si="5"/>
        <v>0.35443168303444794</v>
      </c>
      <c r="Y33" s="8">
        <f t="shared" si="6"/>
        <v>0.45957412933449848</v>
      </c>
    </row>
    <row r="34" spans="3:27" x14ac:dyDescent="0.25">
      <c r="C34">
        <v>6.0000000000000001E-3</v>
      </c>
      <c r="D34">
        <f t="shared" ref="D34:D44" si="29">$E$22+4*$D$22*C34</f>
        <v>1.7470950563220324E-2</v>
      </c>
      <c r="E34">
        <v>1.6E-2</v>
      </c>
      <c r="S34" s="6">
        <f t="shared" si="9"/>
        <v>6.6500000000000012</v>
      </c>
      <c r="T34" s="8">
        <f t="shared" si="1"/>
        <v>0.12186271032955265</v>
      </c>
      <c r="U34" s="8">
        <f t="shared" si="2"/>
        <v>0.16760927775179524</v>
      </c>
      <c r="V34" s="8">
        <f t="shared" si="3"/>
        <v>0.23708163204808466</v>
      </c>
      <c r="W34" s="8">
        <f t="shared" si="4"/>
        <v>0.31504277356846672</v>
      </c>
      <c r="X34" s="8">
        <f t="shared" si="5"/>
        <v>0.36512150062424581</v>
      </c>
      <c r="Y34" s="8">
        <f t="shared" si="6"/>
        <v>0.47355435167518589</v>
      </c>
    </row>
    <row r="35" spans="3:27" x14ac:dyDescent="0.25">
      <c r="C35">
        <f>C34+0.004</f>
        <v>0.01</v>
      </c>
      <c r="D35">
        <f t="shared" si="29"/>
        <v>2.3518851822184297E-2</v>
      </c>
      <c r="E35">
        <v>2.3E-2</v>
      </c>
      <c r="S35" s="6">
        <f t="shared" si="9"/>
        <v>6.8500000000000014</v>
      </c>
      <c r="T35" s="8">
        <f t="shared" si="1"/>
        <v>0.12503796109912702</v>
      </c>
      <c r="U35" s="8">
        <f t="shared" si="2"/>
        <v>0.17229316267720957</v>
      </c>
      <c r="V35" s="8">
        <f t="shared" si="3"/>
        <v>0.24398530064295643</v>
      </c>
      <c r="W35" s="8">
        <f t="shared" si="4"/>
        <v>0.32430439490127227</v>
      </c>
      <c r="X35" s="8">
        <f t="shared" si="5"/>
        <v>0.37581131821404368</v>
      </c>
      <c r="Y35" s="8">
        <f t="shared" si="6"/>
        <v>0.4875345740158733</v>
      </c>
    </row>
    <row r="36" spans="3:27" x14ac:dyDescent="0.25">
      <c r="C36">
        <f t="shared" ref="C36:C45" si="30">C35+0.004</f>
        <v>1.4E-2</v>
      </c>
      <c r="D36">
        <f t="shared" si="29"/>
        <v>2.9566753081148266E-2</v>
      </c>
      <c r="S36" s="6">
        <f t="shared" si="9"/>
        <v>7.0500000000000016</v>
      </c>
      <c r="T36" s="8">
        <f t="shared" si="1"/>
        <v>0.12821321186870141</v>
      </c>
      <c r="U36" s="8">
        <f t="shared" si="2"/>
        <v>0.17697704760262389</v>
      </c>
      <c r="V36" s="8">
        <f t="shared" si="3"/>
        <v>0.25088896923782822</v>
      </c>
      <c r="W36" s="8">
        <f t="shared" si="4"/>
        <v>0.33356601623407783</v>
      </c>
      <c r="X36" s="8">
        <f t="shared" si="5"/>
        <v>0.38650113580384149</v>
      </c>
      <c r="Y36" s="8">
        <f t="shared" si="6"/>
        <v>0.50151479635656071</v>
      </c>
    </row>
    <row r="37" spans="3:27" x14ac:dyDescent="0.25">
      <c r="C37">
        <f>0.016</f>
        <v>1.6E-2</v>
      </c>
      <c r="D37">
        <f t="shared" si="29"/>
        <v>3.2590703710630248E-2</v>
      </c>
      <c r="E37">
        <v>3.5000000000000003E-2</v>
      </c>
      <c r="S37" s="6">
        <f t="shared" si="9"/>
        <v>7.2500000000000018</v>
      </c>
      <c r="T37" s="8">
        <f t="shared" si="1"/>
        <v>0.13138846263827578</v>
      </c>
      <c r="U37" s="8">
        <f t="shared" si="2"/>
        <v>0.18166093252803822</v>
      </c>
      <c r="V37" s="8">
        <f t="shared" si="3"/>
        <v>0.2577926378326999</v>
      </c>
      <c r="W37" s="8">
        <f t="shared" si="4"/>
        <v>0.34282763756688339</v>
      </c>
      <c r="X37" s="8">
        <f t="shared" si="5"/>
        <v>0.39719095339363936</v>
      </c>
      <c r="Y37" s="8">
        <f t="shared" si="6"/>
        <v>0.51549501869724823</v>
      </c>
    </row>
    <row r="38" spans="3:27" x14ac:dyDescent="0.25">
      <c r="C38">
        <f t="shared" si="30"/>
        <v>0.02</v>
      </c>
      <c r="D38">
        <f t="shared" si="29"/>
        <v>3.8638604969594224E-2</v>
      </c>
      <c r="S38" s="6">
        <f t="shared" si="9"/>
        <v>7.450000000000002</v>
      </c>
      <c r="T38" s="8">
        <f t="shared" si="1"/>
        <v>0.13456371340785017</v>
      </c>
      <c r="U38" s="8">
        <f t="shared" si="2"/>
        <v>0.18634481745345255</v>
      </c>
      <c r="V38" s="8">
        <f t="shared" si="3"/>
        <v>0.26469630642757169</v>
      </c>
      <c r="W38" s="8">
        <f t="shared" si="4"/>
        <v>0.35208925889968889</v>
      </c>
      <c r="X38" s="8">
        <f t="shared" si="5"/>
        <v>0.40788077098343722</v>
      </c>
      <c r="Y38" s="8">
        <f t="shared" si="6"/>
        <v>0.52947524103793564</v>
      </c>
    </row>
    <row r="39" spans="3:27" x14ac:dyDescent="0.25">
      <c r="C39">
        <f>0.023</f>
        <v>2.3E-2</v>
      </c>
      <c r="D39">
        <f t="shared" si="29"/>
        <v>4.3174530913817198E-2</v>
      </c>
      <c r="E39">
        <v>4.5999999999999999E-2</v>
      </c>
      <c r="S39" s="6">
        <f t="shared" si="9"/>
        <v>7.6500000000000021</v>
      </c>
      <c r="T39" s="8">
        <f t="shared" si="1"/>
        <v>0.13773896417742454</v>
      </c>
      <c r="U39" s="8">
        <f t="shared" si="2"/>
        <v>0.19102870237886688</v>
      </c>
      <c r="V39" s="8">
        <f t="shared" si="3"/>
        <v>0.27159997502244348</v>
      </c>
      <c r="W39" s="8">
        <f t="shared" si="4"/>
        <v>0.36135088023249445</v>
      </c>
      <c r="X39" s="8">
        <f t="shared" si="5"/>
        <v>0.41857058857323504</v>
      </c>
      <c r="Y39" s="8">
        <f t="shared" si="6"/>
        <v>0.54345546337862305</v>
      </c>
    </row>
    <row r="40" spans="3:27" x14ac:dyDescent="0.25">
      <c r="C40">
        <f t="shared" si="30"/>
        <v>2.7E-2</v>
      </c>
      <c r="D40">
        <f t="shared" si="29"/>
        <v>4.9222432172781168E-2</v>
      </c>
      <c r="S40" s="6">
        <f t="shared" si="9"/>
        <v>7.8500000000000023</v>
      </c>
      <c r="T40" s="8">
        <f t="shared" si="1"/>
        <v>0.14091421494699891</v>
      </c>
      <c r="U40" s="8">
        <f t="shared" si="2"/>
        <v>0.1957125873042812</v>
      </c>
      <c r="V40" s="8">
        <f t="shared" si="3"/>
        <v>0.27850364361731528</v>
      </c>
      <c r="W40" s="8">
        <f t="shared" si="4"/>
        <v>0.37061250156530001</v>
      </c>
      <c r="X40" s="8">
        <f t="shared" si="5"/>
        <v>0.4292604061630329</v>
      </c>
      <c r="Y40" s="8">
        <f t="shared" si="6"/>
        <v>0.55743568571931046</v>
      </c>
    </row>
    <row r="41" spans="3:27" x14ac:dyDescent="0.25">
      <c r="C41">
        <f t="shared" si="30"/>
        <v>3.1E-2</v>
      </c>
      <c r="D41">
        <f t="shared" si="29"/>
        <v>5.5270333431745144E-2</v>
      </c>
      <c r="E41">
        <v>5.2999999999999999E-2</v>
      </c>
      <c r="S41" s="6">
        <f t="shared" si="9"/>
        <v>8.0500000000000025</v>
      </c>
      <c r="T41" s="8">
        <f t="shared" si="1"/>
        <v>0.14408946571657327</v>
      </c>
      <c r="U41" s="8">
        <f t="shared" si="2"/>
        <v>0.20039647222969559</v>
      </c>
      <c r="V41" s="8">
        <f t="shared" si="3"/>
        <v>0.28540731221218696</v>
      </c>
      <c r="W41" s="8">
        <f t="shared" si="4"/>
        <v>0.37987412289810557</v>
      </c>
      <c r="X41" s="8">
        <f t="shared" si="5"/>
        <v>0.43995022375283077</v>
      </c>
      <c r="Y41" s="8">
        <f t="shared" si="6"/>
        <v>0.57141590805999787</v>
      </c>
    </row>
    <row r="42" spans="3:27" x14ac:dyDescent="0.25">
      <c r="C42">
        <f t="shared" si="30"/>
        <v>3.5000000000000003E-2</v>
      </c>
      <c r="D42">
        <f t="shared" si="29"/>
        <v>6.1318234690709114E-2</v>
      </c>
      <c r="S42" s="6">
        <f t="shared" si="9"/>
        <v>8.2500000000000018</v>
      </c>
      <c r="T42" s="8">
        <f t="shared" si="1"/>
        <v>0.14726471648614764</v>
      </c>
      <c r="U42" s="8">
        <f t="shared" si="2"/>
        <v>0.20508035715510986</v>
      </c>
      <c r="V42" s="8">
        <f t="shared" si="3"/>
        <v>0.29231098080705875</v>
      </c>
      <c r="W42" s="8">
        <f t="shared" si="4"/>
        <v>0.38913574423091107</v>
      </c>
      <c r="X42" s="8">
        <f t="shared" si="5"/>
        <v>0.45064004134262853</v>
      </c>
      <c r="Y42" s="8">
        <f t="shared" si="6"/>
        <v>0.58539613040068517</v>
      </c>
    </row>
    <row r="43" spans="3:27" x14ac:dyDescent="0.25">
      <c r="C43">
        <f t="shared" si="30"/>
        <v>3.9000000000000007E-2</v>
      </c>
      <c r="D43">
        <f t="shared" si="29"/>
        <v>6.7366135949673084E-2</v>
      </c>
      <c r="S43" s="6">
        <f t="shared" si="9"/>
        <v>8.4500000000000011</v>
      </c>
      <c r="T43" s="8">
        <f t="shared" si="1"/>
        <v>0.15043996725572201</v>
      </c>
      <c r="U43" s="8">
        <f t="shared" si="2"/>
        <v>0.20976424208052419</v>
      </c>
      <c r="V43" s="8">
        <f t="shared" si="3"/>
        <v>0.29921464940193043</v>
      </c>
      <c r="W43" s="8">
        <f t="shared" si="4"/>
        <v>0.39839736556371658</v>
      </c>
      <c r="X43" s="8">
        <f t="shared" si="5"/>
        <v>0.46132985893242634</v>
      </c>
      <c r="Y43" s="8">
        <f t="shared" si="6"/>
        <v>0.59937635274137258</v>
      </c>
      <c r="AA43">
        <v>0.21</v>
      </c>
    </row>
    <row r="44" spans="3:27" x14ac:dyDescent="0.25">
      <c r="C44">
        <f>0.041</f>
        <v>4.1000000000000002E-2</v>
      </c>
      <c r="D44">
        <f t="shared" si="29"/>
        <v>7.0390086579155076E-2</v>
      </c>
      <c r="E44">
        <v>7.0000000000000007E-2</v>
      </c>
      <c r="S44" s="6">
        <f t="shared" si="9"/>
        <v>8.65</v>
      </c>
      <c r="T44" s="8">
        <f t="shared" si="1"/>
        <v>0.15361521802529637</v>
      </c>
      <c r="U44" s="8">
        <f t="shared" si="2"/>
        <v>0.21444812700593852</v>
      </c>
      <c r="V44" s="8">
        <f t="shared" si="3"/>
        <v>0.30611831799680222</v>
      </c>
      <c r="W44" s="8">
        <f t="shared" si="4"/>
        <v>0.40765898689652208</v>
      </c>
      <c r="X44" s="8">
        <f t="shared" si="5"/>
        <v>0.47201967652222415</v>
      </c>
      <c r="Y44" s="8">
        <f t="shared" si="6"/>
        <v>0.61335657508205987</v>
      </c>
    </row>
    <row r="45" spans="3:27" x14ac:dyDescent="0.25">
      <c r="S45" s="6">
        <f t="shared" si="9"/>
        <v>8.85</v>
      </c>
      <c r="T45" s="8">
        <f t="shared" si="1"/>
        <v>0.15679046879487074</v>
      </c>
      <c r="U45" s="8">
        <f t="shared" si="2"/>
        <v>0.21913201193135284</v>
      </c>
      <c r="V45" s="8">
        <f t="shared" si="3"/>
        <v>0.31302198659167391</v>
      </c>
      <c r="W45" s="8">
        <f t="shared" si="4"/>
        <v>0.41692060822932758</v>
      </c>
      <c r="X45" s="8">
        <f t="shared" si="5"/>
        <v>0.48270949411202196</v>
      </c>
      <c r="Y45" s="8">
        <f t="shared" si="6"/>
        <v>0.62733679742274728</v>
      </c>
      <c r="Z45">
        <v>0.16</v>
      </c>
    </row>
    <row r="46" spans="3:27" x14ac:dyDescent="0.25">
      <c r="S46" s="6">
        <f t="shared" si="9"/>
        <v>9.0499999999999989</v>
      </c>
      <c r="T46" s="8">
        <f t="shared" si="1"/>
        <v>0.15996571956444511</v>
      </c>
      <c r="U46" s="8">
        <f t="shared" si="2"/>
        <v>0.22381589685676712</v>
      </c>
      <c r="V46" s="8">
        <f t="shared" si="3"/>
        <v>0.3199256551865457</v>
      </c>
      <c r="W46" s="8">
        <f t="shared" si="4"/>
        <v>0.42618222956213309</v>
      </c>
      <c r="X46" s="8">
        <f t="shared" si="5"/>
        <v>0.49339931170181972</v>
      </c>
      <c r="Y46" s="8">
        <f t="shared" si="6"/>
        <v>0.64131701976343458</v>
      </c>
    </row>
    <row r="47" spans="3:27" x14ac:dyDescent="0.25">
      <c r="S47" s="6">
        <f t="shared" si="9"/>
        <v>9.2499999999999982</v>
      </c>
      <c r="T47" s="8">
        <f t="shared" si="1"/>
        <v>0.16314097033401945</v>
      </c>
      <c r="U47" s="8">
        <f t="shared" si="2"/>
        <v>0.22849978178218144</v>
      </c>
      <c r="V47" s="8">
        <f t="shared" si="3"/>
        <v>0.32682932378141738</v>
      </c>
      <c r="W47" s="8">
        <f t="shared" si="4"/>
        <v>0.43544385089493859</v>
      </c>
      <c r="X47" s="8">
        <f t="shared" si="5"/>
        <v>0.50408912929161753</v>
      </c>
      <c r="Y47" s="8">
        <f t="shared" si="6"/>
        <v>0.65529724210412199</v>
      </c>
    </row>
    <row r="48" spans="3:27" x14ac:dyDescent="0.25">
      <c r="S48" s="6">
        <f t="shared" si="9"/>
        <v>9.4499999999999975</v>
      </c>
      <c r="T48" s="8">
        <f t="shared" si="1"/>
        <v>0.16631622110359381</v>
      </c>
      <c r="U48" s="8">
        <f t="shared" si="2"/>
        <v>0.23318366670759577</v>
      </c>
      <c r="V48" s="8">
        <f t="shared" si="3"/>
        <v>0.33373299237628917</v>
      </c>
      <c r="W48" s="8">
        <f t="shared" si="4"/>
        <v>0.44470547222774409</v>
      </c>
      <c r="X48" s="8">
        <f t="shared" si="5"/>
        <v>0.51477894688141534</v>
      </c>
      <c r="Y48" s="8">
        <f t="shared" si="6"/>
        <v>0.66927746444480929</v>
      </c>
    </row>
    <row r="49" spans="19:26" x14ac:dyDescent="0.25">
      <c r="S49" s="6">
        <f t="shared" si="9"/>
        <v>9.6499999999999968</v>
      </c>
      <c r="T49" s="8">
        <f t="shared" si="1"/>
        <v>0.16949147187316818</v>
      </c>
      <c r="U49" s="8">
        <f t="shared" si="2"/>
        <v>0.2378675516330101</v>
      </c>
      <c r="V49" s="8">
        <f t="shared" si="3"/>
        <v>0.34063666097116085</v>
      </c>
      <c r="W49" s="8">
        <f t="shared" si="4"/>
        <v>0.45396709356054959</v>
      </c>
      <c r="X49" s="8">
        <f t="shared" si="5"/>
        <v>0.52546876447121316</v>
      </c>
      <c r="Y49" s="8">
        <f t="shared" si="6"/>
        <v>0.6832576867854967</v>
      </c>
    </row>
    <row r="50" spans="19:26" x14ac:dyDescent="0.25">
      <c r="S50" s="6">
        <f t="shared" si="9"/>
        <v>9.8499999999999961</v>
      </c>
      <c r="T50" s="8">
        <f t="shared" si="1"/>
        <v>0.17266672264274255</v>
      </c>
      <c r="U50" s="8">
        <f t="shared" si="2"/>
        <v>0.24255143655842443</v>
      </c>
      <c r="V50" s="8">
        <f t="shared" si="3"/>
        <v>0.34754032956603265</v>
      </c>
      <c r="W50" s="8">
        <f t="shared" si="4"/>
        <v>0.4632287148933551</v>
      </c>
      <c r="X50" s="8">
        <f t="shared" si="5"/>
        <v>0.53615858206101097</v>
      </c>
      <c r="Y50" s="8">
        <f t="shared" si="6"/>
        <v>0.697237909126184</v>
      </c>
    </row>
    <row r="51" spans="19:26" x14ac:dyDescent="0.25">
      <c r="S51" s="6">
        <f t="shared" si="9"/>
        <v>10.049999999999995</v>
      </c>
      <c r="T51" s="8">
        <f t="shared" si="1"/>
        <v>0.17584197341231692</v>
      </c>
      <c r="U51" s="8">
        <f t="shared" si="2"/>
        <v>0.2472353214838387</v>
      </c>
      <c r="V51" s="8">
        <f t="shared" si="3"/>
        <v>0.35444399816090433</v>
      </c>
      <c r="W51" s="8">
        <f t="shared" si="4"/>
        <v>0.4724903362261606</v>
      </c>
      <c r="X51" s="8">
        <f t="shared" si="5"/>
        <v>0.54684839965080878</v>
      </c>
      <c r="Y51" s="8">
        <f t="shared" si="6"/>
        <v>0.71121813146687141</v>
      </c>
    </row>
    <row r="52" spans="19:26" x14ac:dyDescent="0.25">
      <c r="S52" s="6">
        <f t="shared" si="9"/>
        <v>10.249999999999995</v>
      </c>
      <c r="T52" s="8">
        <f t="shared" si="1"/>
        <v>0.17901722418189125</v>
      </c>
      <c r="U52" s="8">
        <f t="shared" si="2"/>
        <v>0.25191920640925303</v>
      </c>
      <c r="V52" s="8">
        <f t="shared" si="3"/>
        <v>0.36134766675577612</v>
      </c>
      <c r="W52" s="8">
        <f t="shared" si="4"/>
        <v>0.4817519575589661</v>
      </c>
      <c r="X52" s="8">
        <f t="shared" si="5"/>
        <v>0.55753821724060659</v>
      </c>
      <c r="Y52" s="8">
        <f t="shared" si="6"/>
        <v>0.7251983538075587</v>
      </c>
    </row>
    <row r="53" spans="19:26" x14ac:dyDescent="0.25">
      <c r="S53" s="6">
        <f t="shared" si="9"/>
        <v>10.449999999999994</v>
      </c>
      <c r="T53" s="8">
        <f t="shared" si="1"/>
        <v>0.18219247495146562</v>
      </c>
      <c r="U53" s="8">
        <f t="shared" si="2"/>
        <v>0.25660309133466735</v>
      </c>
      <c r="V53" s="8">
        <f t="shared" si="3"/>
        <v>0.3682513353506478</v>
      </c>
      <c r="W53" s="8">
        <f t="shared" si="4"/>
        <v>0.49101357889177161</v>
      </c>
      <c r="X53" s="8">
        <f t="shared" si="5"/>
        <v>0.5682280348304044</v>
      </c>
      <c r="Y53" s="8">
        <f t="shared" si="6"/>
        <v>0.73917857614824611</v>
      </c>
    </row>
    <row r="54" spans="19:26" x14ac:dyDescent="0.25">
      <c r="S54" s="6">
        <f t="shared" si="9"/>
        <v>10.649999999999993</v>
      </c>
      <c r="T54" s="8">
        <f t="shared" si="1"/>
        <v>0.18536772572103999</v>
      </c>
      <c r="U54" s="8">
        <f t="shared" si="2"/>
        <v>0.26128697626008168</v>
      </c>
      <c r="V54" s="8">
        <f t="shared" si="3"/>
        <v>0.37515500394551959</v>
      </c>
      <c r="W54" s="8">
        <f t="shared" si="4"/>
        <v>0.50027520022457717</v>
      </c>
      <c r="X54" s="8">
        <f t="shared" si="5"/>
        <v>0.57891785242020211</v>
      </c>
      <c r="Y54" s="8">
        <f t="shared" si="6"/>
        <v>0.75315879848893341</v>
      </c>
    </row>
    <row r="55" spans="19:26" x14ac:dyDescent="0.25">
      <c r="S55" s="6">
        <f t="shared" si="9"/>
        <v>10.849999999999993</v>
      </c>
      <c r="T55" s="8">
        <f t="shared" si="1"/>
        <v>0.18854297649061436</v>
      </c>
      <c r="U55" s="8">
        <f t="shared" si="2"/>
        <v>0.26597086118549595</v>
      </c>
      <c r="V55" s="8">
        <f t="shared" si="3"/>
        <v>0.38205867254039128</v>
      </c>
      <c r="W55" s="8">
        <f t="shared" si="4"/>
        <v>0.50953682155738256</v>
      </c>
      <c r="X55" s="8">
        <f t="shared" si="5"/>
        <v>0.58960767000999992</v>
      </c>
      <c r="Y55" s="8">
        <f t="shared" si="6"/>
        <v>0.76713902082962071</v>
      </c>
    </row>
    <row r="56" spans="19:26" x14ac:dyDescent="0.25">
      <c r="S56" s="6">
        <f t="shared" si="9"/>
        <v>11.049999999999992</v>
      </c>
      <c r="T56" s="8">
        <f t="shared" si="1"/>
        <v>0.19171822726018872</v>
      </c>
      <c r="U56" s="8">
        <f t="shared" si="2"/>
        <v>0.27065474611091028</v>
      </c>
      <c r="V56" s="8">
        <f t="shared" si="3"/>
        <v>0.38896234113526296</v>
      </c>
      <c r="W56" s="8">
        <f t="shared" si="4"/>
        <v>0.51879844289018817</v>
      </c>
      <c r="X56" s="8">
        <f t="shared" si="5"/>
        <v>0.60029748759979773</v>
      </c>
      <c r="Y56" s="8">
        <f t="shared" si="6"/>
        <v>0.78111924317030812</v>
      </c>
    </row>
    <row r="57" spans="19:26" x14ac:dyDescent="0.25">
      <c r="S57" s="6">
        <f t="shared" si="9"/>
        <v>11.249999999999991</v>
      </c>
      <c r="T57" s="8">
        <f t="shared" si="1"/>
        <v>0.19489347802976309</v>
      </c>
      <c r="U57" s="8">
        <f t="shared" si="2"/>
        <v>0.27533863103632461</v>
      </c>
      <c r="V57" s="8">
        <f t="shared" si="3"/>
        <v>0.39586600973013475</v>
      </c>
      <c r="W57" s="8">
        <f t="shared" si="4"/>
        <v>0.52806006422299356</v>
      </c>
      <c r="X57" s="8">
        <f t="shared" si="5"/>
        <v>0.61098730518959554</v>
      </c>
      <c r="Y57" s="8">
        <f t="shared" si="6"/>
        <v>0.79509946551099542</v>
      </c>
    </row>
    <row r="58" spans="19:26" x14ac:dyDescent="0.25">
      <c r="S58" s="6">
        <f t="shared" si="9"/>
        <v>11.44999999999999</v>
      </c>
      <c r="T58" s="8">
        <f t="shared" si="1"/>
        <v>0.19806872879933743</v>
      </c>
      <c r="U58" s="8">
        <f t="shared" si="2"/>
        <v>0.28002251596173888</v>
      </c>
      <c r="V58" s="8">
        <f t="shared" si="3"/>
        <v>0.40276967832500643</v>
      </c>
      <c r="W58" s="8">
        <f t="shared" si="4"/>
        <v>0.53732168555579918</v>
      </c>
      <c r="X58" s="8">
        <f t="shared" si="5"/>
        <v>0.62167712277939335</v>
      </c>
      <c r="Y58" s="8">
        <f t="shared" si="6"/>
        <v>0.80907968785168283</v>
      </c>
    </row>
    <row r="59" spans="19:26" x14ac:dyDescent="0.25">
      <c r="S59" s="6">
        <f t="shared" si="9"/>
        <v>11.64999999999999</v>
      </c>
      <c r="T59" s="8">
        <f t="shared" si="1"/>
        <v>0.2012439795689118</v>
      </c>
      <c r="U59" s="8">
        <f t="shared" si="2"/>
        <v>0.28470640088715321</v>
      </c>
      <c r="V59" s="8">
        <f t="shared" si="3"/>
        <v>0.40967334691987822</v>
      </c>
      <c r="W59" s="8">
        <f t="shared" si="4"/>
        <v>0.54658330688860457</v>
      </c>
      <c r="X59" s="8">
        <f t="shared" si="5"/>
        <v>0.63236694036919117</v>
      </c>
      <c r="Y59" s="8">
        <f t="shared" si="6"/>
        <v>0.82305991019237013</v>
      </c>
    </row>
    <row r="60" spans="19:26" x14ac:dyDescent="0.25">
      <c r="S60" s="6">
        <f t="shared" si="9"/>
        <v>11.849999999999989</v>
      </c>
      <c r="T60" s="8">
        <f t="shared" si="1"/>
        <v>0.20441923033848616</v>
      </c>
      <c r="U60" s="8">
        <f t="shared" si="2"/>
        <v>0.28939028581256754</v>
      </c>
      <c r="V60" s="8">
        <f t="shared" si="3"/>
        <v>0.4165770155147499</v>
      </c>
      <c r="W60" s="8">
        <f t="shared" si="4"/>
        <v>0.55584492822141018</v>
      </c>
      <c r="X60" s="8">
        <f t="shared" si="5"/>
        <v>0.64305675795898898</v>
      </c>
      <c r="Y60" s="8">
        <f t="shared" si="6"/>
        <v>0.83704013253305753</v>
      </c>
      <c r="Z60">
        <v>0.2</v>
      </c>
    </row>
    <row r="61" spans="19:26" x14ac:dyDescent="0.25">
      <c r="S61" s="6">
        <f t="shared" si="9"/>
        <v>12.049999999999988</v>
      </c>
      <c r="T61" s="8">
        <f t="shared" si="1"/>
        <v>0.20759448110806053</v>
      </c>
      <c r="U61" s="8">
        <f t="shared" si="2"/>
        <v>0.29407417073798187</v>
      </c>
      <c r="V61" s="8">
        <f t="shared" si="3"/>
        <v>0.4234806841096217</v>
      </c>
      <c r="W61" s="8">
        <f t="shared" si="4"/>
        <v>0.56510654955421558</v>
      </c>
      <c r="X61" s="8">
        <f t="shared" si="5"/>
        <v>0.65374657554878679</v>
      </c>
      <c r="Y61" s="8">
        <f t="shared" si="6"/>
        <v>0.85102035487374483</v>
      </c>
    </row>
    <row r="62" spans="19:26" x14ac:dyDescent="0.25">
      <c r="S62" s="6">
        <f t="shared" si="9"/>
        <v>12.249999999999988</v>
      </c>
      <c r="T62" s="8">
        <f t="shared" si="1"/>
        <v>0.2107697318776349</v>
      </c>
      <c r="U62" s="8">
        <f t="shared" si="2"/>
        <v>0.29875805566339619</v>
      </c>
      <c r="V62" s="8">
        <f t="shared" si="3"/>
        <v>0.43038435270449338</v>
      </c>
      <c r="W62" s="8">
        <f t="shared" si="4"/>
        <v>0.57436817088702119</v>
      </c>
      <c r="X62" s="8">
        <f t="shared" si="5"/>
        <v>0.6644363931385846</v>
      </c>
      <c r="Y62" s="8">
        <f t="shared" si="6"/>
        <v>0.86500057721443224</v>
      </c>
    </row>
  </sheetData>
  <mergeCells count="10">
    <mergeCell ref="B2:B3"/>
    <mergeCell ref="C2:H2"/>
    <mergeCell ref="B4:B7"/>
    <mergeCell ref="B8:B11"/>
    <mergeCell ref="B12:B15"/>
    <mergeCell ref="J4:J6"/>
    <mergeCell ref="J7:J9"/>
    <mergeCell ref="J10:J12"/>
    <mergeCell ref="J13:J15"/>
    <mergeCell ref="B16:B1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Шульга</dc:creator>
  <cp:lastModifiedBy>ExcaliBBur Velichaishiy</cp:lastModifiedBy>
  <dcterms:created xsi:type="dcterms:W3CDTF">2015-06-05T18:19:34Z</dcterms:created>
  <dcterms:modified xsi:type="dcterms:W3CDTF">2022-05-13T11:59:51Z</dcterms:modified>
</cp:coreProperties>
</file>