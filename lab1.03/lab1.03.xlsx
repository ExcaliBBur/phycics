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only_labs_java\physics\lab1.03\"/>
    </mc:Choice>
  </mc:AlternateContent>
  <xr:revisionPtr revIDLastSave="0" documentId="13_ncr:1_{EF78EFE2-B92D-4910-A7BA-4C58EF3B9D3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7" i="1" l="1"/>
  <c r="N52" i="1"/>
  <c r="P50" i="1" s="1"/>
  <c r="D42" i="1"/>
  <c r="F42" i="1" s="1" a="1"/>
  <c r="F42" i="1" s="1"/>
  <c r="E75" i="1"/>
  <c r="F76" i="1"/>
  <c r="F77" i="1"/>
  <c r="F78" i="1"/>
  <c r="F79" i="1"/>
  <c r="F80" i="1"/>
  <c r="F81" i="1"/>
  <c r="F82" i="1"/>
  <c r="F83" i="1"/>
  <c r="F84" i="1"/>
  <c r="F75" i="1"/>
  <c r="E76" i="1"/>
  <c r="E77" i="1"/>
  <c r="E79" i="1"/>
  <c r="E80" i="1"/>
  <c r="E83" i="1"/>
  <c r="E84" i="1"/>
  <c r="D84" i="1"/>
  <c r="D83" i="1"/>
  <c r="D80" i="1"/>
  <c r="D79" i="1"/>
  <c r="D77" i="1"/>
  <c r="D78" i="1"/>
  <c r="D81" i="1" s="1"/>
  <c r="D82" i="1" s="1"/>
  <c r="D76" i="1"/>
  <c r="D75" i="1"/>
  <c r="F74" i="1"/>
  <c r="E74" i="1"/>
  <c r="E57" i="1"/>
  <c r="D58" i="1"/>
  <c r="E58" i="1"/>
  <c r="D59" i="1"/>
  <c r="D60" i="1"/>
  <c r="D61" i="1"/>
  <c r="D62" i="1"/>
  <c r="E62" i="1"/>
  <c r="D63" i="1"/>
  <c r="D65" i="1"/>
  <c r="E65" i="1"/>
  <c r="D66" i="1"/>
  <c r="D67" i="1" s="1"/>
  <c r="E67" i="1"/>
  <c r="E69" i="1"/>
  <c r="O51" i="1"/>
  <c r="V62" i="1"/>
  <c r="V61" i="1"/>
  <c r="N65" i="1"/>
  <c r="D68" i="1" l="1"/>
  <c r="D64" i="1"/>
  <c r="D69" i="1" l="1"/>
  <c r="D70" i="1" l="1"/>
  <c r="R60" i="1" l="1" a="1"/>
  <c r="R60" i="1" s="1"/>
  <c r="O50" i="1"/>
  <c r="N50" i="1"/>
  <c r="H35" i="1"/>
  <c r="G35" i="1"/>
  <c r="F35" i="1"/>
  <c r="E35" i="1"/>
  <c r="D35" i="1"/>
  <c r="M33" i="1" a="1"/>
  <c r="M33" i="1" s="1"/>
  <c r="K33" i="1"/>
  <c r="O26" i="1"/>
  <c r="N26" i="1"/>
  <c r="M26" i="1"/>
  <c r="L26" i="1"/>
  <c r="K26" i="1"/>
  <c r="T60" i="1" l="1" a="1"/>
  <c r="T60" i="1" s="1"/>
  <c r="Q60" i="1"/>
  <c r="O60" i="1"/>
  <c r="N60" i="1"/>
  <c r="N66" i="1"/>
  <c r="O66" i="1" s="1"/>
  <c r="O65" i="1"/>
  <c r="N64" i="1"/>
  <c r="O64" i="1" s="1"/>
  <c r="N63" i="1"/>
  <c r="O63" i="1" s="1"/>
  <c r="N62" i="1"/>
  <c r="O62" i="1" s="1"/>
  <c r="N61" i="1"/>
  <c r="O61" i="1" s="1"/>
  <c r="E46" i="1"/>
  <c r="M37" i="1"/>
  <c r="O53" i="1"/>
  <c r="O54" i="1"/>
  <c r="O55" i="1"/>
  <c r="O56" i="1"/>
  <c r="N51" i="1"/>
  <c r="O52" i="1"/>
  <c r="N53" i="1"/>
  <c r="N54" i="1"/>
  <c r="N55" i="1"/>
  <c r="N56" i="1"/>
  <c r="H46" i="1"/>
  <c r="G47" i="1"/>
  <c r="G48" i="1"/>
  <c r="G49" i="1"/>
  <c r="G50" i="1"/>
  <c r="G46" i="1"/>
  <c r="E47" i="1"/>
  <c r="E48" i="1"/>
  <c r="E49" i="1"/>
  <c r="E50" i="1"/>
  <c r="D47" i="1"/>
  <c r="D48" i="1"/>
  <c r="D49" i="1"/>
  <c r="D50" i="1"/>
  <c r="D46" i="1"/>
  <c r="F49" i="1"/>
  <c r="F47" i="1"/>
  <c r="E42" i="1"/>
  <c r="G42" i="1" a="1"/>
  <c r="G42" i="1" s="1"/>
  <c r="N44" i="1" a="1"/>
  <c r="N44" i="1" s="1"/>
  <c r="M44" i="1" a="1"/>
  <c r="M44" i="1"/>
  <c r="L44" i="1"/>
  <c r="G36" i="1"/>
  <c r="G37" i="1"/>
  <c r="G38" i="1"/>
  <c r="G39" i="1"/>
  <c r="F36" i="1"/>
  <c r="F37" i="1"/>
  <c r="F38" i="1"/>
  <c r="F39" i="1"/>
  <c r="E36" i="1"/>
  <c r="E37" i="1"/>
  <c r="E38" i="1"/>
  <c r="E39" i="1"/>
  <c r="D36" i="1"/>
  <c r="D37" i="1"/>
  <c r="D38" i="1"/>
  <c r="D39" i="1"/>
  <c r="K44" i="1"/>
  <c r="O38" i="1"/>
  <c r="O39" i="1"/>
  <c r="O40" i="1"/>
  <c r="O41" i="1"/>
  <c r="O37" i="1"/>
  <c r="N37" i="1"/>
  <c r="M38" i="1"/>
  <c r="M39" i="1"/>
  <c r="M40" i="1"/>
  <c r="M41" i="1"/>
  <c r="L38" i="1"/>
  <c r="L39" i="1"/>
  <c r="L40" i="1"/>
  <c r="L41" i="1"/>
  <c r="L37" i="1"/>
  <c r="K38" i="1"/>
  <c r="K39" i="1"/>
  <c r="K40" i="1"/>
  <c r="K41" i="1"/>
  <c r="K37" i="1"/>
  <c r="N40" i="1"/>
  <c r="N39" i="1"/>
  <c r="N38" i="1"/>
  <c r="N33" i="1" a="1"/>
  <c r="N33" i="1" s="1"/>
  <c r="L33" i="1"/>
  <c r="O27" i="1"/>
  <c r="O28" i="1"/>
  <c r="O29" i="1"/>
  <c r="O30" i="1"/>
  <c r="N27" i="1"/>
  <c r="N28" i="1"/>
  <c r="N29" i="1"/>
  <c r="N30" i="1"/>
  <c r="M27" i="1"/>
  <c r="M28" i="1"/>
  <c r="M29" i="1"/>
  <c r="M30" i="1"/>
  <c r="L27" i="1"/>
  <c r="L28" i="1"/>
  <c r="L29" i="1"/>
  <c r="L30" i="1"/>
  <c r="K27" i="1"/>
  <c r="K28" i="1"/>
  <c r="K29" i="1"/>
  <c r="K30" i="1"/>
  <c r="Q50" i="1" l="1"/>
  <c r="E60" i="1"/>
  <c r="E53" i="1"/>
  <c r="G53" i="1" s="1" a="1"/>
  <c r="G53" i="1" s="1"/>
  <c r="P60" i="1"/>
  <c r="T50" i="1" a="1"/>
  <c r="T50" i="1" s="1"/>
  <c r="F46" i="1"/>
  <c r="F48" i="1"/>
  <c r="F50" i="1"/>
  <c r="D53" i="1" s="1"/>
  <c r="F53" i="1" s="1" a="1"/>
  <c r="F53" i="1" s="1"/>
  <c r="N41" i="1"/>
  <c r="P63" i="1" l="1"/>
  <c r="R50" i="1" a="1"/>
  <c r="R50" i="1" s="1"/>
  <c r="P53" i="1" s="1"/>
  <c r="F66" i="1" l="1"/>
  <c r="F60" i="1"/>
  <c r="F61" i="1"/>
  <c r="E56" i="1"/>
  <c r="F62" i="1"/>
  <c r="F58" i="1"/>
  <c r="F59" i="1"/>
  <c r="F65" i="1"/>
  <c r="F67" i="1"/>
  <c r="F63" i="1"/>
  <c r="F64" i="1"/>
  <c r="F68" i="1"/>
  <c r="F69" i="1"/>
  <c r="F70" i="1"/>
  <c r="S51" i="1"/>
  <c r="S52" i="1"/>
  <c r="S55" i="1"/>
  <c r="S56" i="1"/>
  <c r="S50" i="1"/>
  <c r="S53" i="1"/>
  <c r="S54" i="1"/>
  <c r="S62" i="1"/>
  <c r="S63" i="1"/>
  <c r="S64" i="1"/>
  <c r="S65" i="1"/>
  <c r="S66" i="1"/>
  <c r="S60" i="1"/>
  <c r="S61" i="1"/>
  <c r="U60" i="1" l="1"/>
  <c r="V60" i="1"/>
  <c r="U50" i="1"/>
  <c r="V50" i="1"/>
  <c r="V51" i="1" s="1"/>
  <c r="V5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<sst xmlns="http://schemas.openxmlformats.org/spreadsheetml/2006/main" count="135" uniqueCount="64">
  <si>
    <t>N опыта</t>
  </si>
  <si>
    <t>m1, г</t>
  </si>
  <si>
    <t>m2, г</t>
  </si>
  <si>
    <t>v10, м/с</t>
  </si>
  <si>
    <t>v1x, м/с</t>
  </si>
  <si>
    <t>v2x, м/с</t>
  </si>
  <si>
    <t>Таблица 1.1</t>
  </si>
  <si>
    <t>Таблица 1.2</t>
  </si>
  <si>
    <t>Таблица 2.1</t>
  </si>
  <si>
    <t>v, м/с</t>
  </si>
  <si>
    <t>Таблица 2.2</t>
  </si>
  <si>
    <t>v1, м/с</t>
  </si>
  <si>
    <t>v2 м/с</t>
  </si>
  <si>
    <t>m, г</t>
  </si>
  <si>
    <t>подвеска</t>
  </si>
  <si>
    <t>подвеска + одна шайба</t>
  </si>
  <si>
    <t>подвеска + две шайбы</t>
  </si>
  <si>
    <t>подвеска + три шайбы</t>
  </si>
  <si>
    <t>подвеска + четыре шайбы</t>
  </si>
  <si>
    <t>подвеска + пять шайб</t>
  </si>
  <si>
    <t>подвеска + шесть шайб</t>
  </si>
  <si>
    <t>Таблица 3.1 (M = 48 г)</t>
  </si>
  <si>
    <t>Таблица 3.2 (M = 99 г)</t>
  </si>
  <si>
    <t>Координаты оптических ворот:</t>
  </si>
  <si>
    <t>x1 (м)=</t>
  </si>
  <si>
    <t>x2 (м)=</t>
  </si>
  <si>
    <t>№</t>
  </si>
  <si>
    <t>p10x, мН*с</t>
  </si>
  <si>
    <t>p1x,мН*с</t>
  </si>
  <si>
    <t>p2x,мН*с</t>
  </si>
  <si>
    <t>v10x, м/с</t>
  </si>
  <si>
    <t>/delta_p</t>
  </si>
  <si>
    <t>/delta_W</t>
  </si>
  <si>
    <t>4.1</t>
  </si>
  <si>
    <t>4.2</t>
  </si>
  <si>
    <t>5.1</t>
  </si>
  <si>
    <t>p10, мН*с</t>
  </si>
  <si>
    <t>p,мН*с</t>
  </si>
  <si>
    <t>/delta_w</t>
  </si>
  <si>
    <t>6.1</t>
  </si>
  <si>
    <t>m,г</t>
  </si>
  <si>
    <t>а, м/с^2</t>
  </si>
  <si>
    <t>T, мН</t>
  </si>
  <si>
    <t>5.2</t>
  </si>
  <si>
    <t>6.2</t>
  </si>
  <si>
    <t>состав гирьки</t>
  </si>
  <si>
    <t>/bar a</t>
  </si>
  <si>
    <t>\bar T</t>
  </si>
  <si>
    <t>Fтр</t>
  </si>
  <si>
    <t>d</t>
  </si>
  <si>
    <t>D</t>
  </si>
  <si>
    <t>Sa^2</t>
  </si>
  <si>
    <t>/bar /delta_p</t>
  </si>
  <si>
    <t>/bar /delta_W</t>
  </si>
  <si>
    <t>/delta_w^(e)</t>
  </si>
  <si>
    <t>/delta_w^(т)</t>
  </si>
  <si>
    <t>/bar /delta_w</t>
  </si>
  <si>
    <t>m</t>
  </si>
  <si>
    <t>Fтр=T-ma</t>
  </si>
  <si>
    <t>погрешно</t>
  </si>
  <si>
    <t>Sm^2</t>
  </si>
  <si>
    <t>a</t>
  </si>
  <si>
    <t>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</si>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</sst>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</a:t>
            </a:r>
            <a:r>
              <a:rPr lang="en-US"/>
              <a:t>T(a)</a:t>
            </a:r>
            <a:r>
              <a:rPr lang="ru-RU"/>
              <a:t> для таблицы</a:t>
            </a:r>
            <a:r>
              <a:rPr lang="ru-RU" baseline="0"/>
              <a:t> 6.1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Точки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xVal>
            <c:numRef>
              <c:f>Лист1!$D$58:$D$70</c:f>
              <c:numCache>
                <c:formatCode>0.00</c:formatCode>
                <c:ptCount val="13"/>
                <c:pt idx="0">
                  <c:v>0.19712500000000002</c:v>
                </c:pt>
                <c:pt idx="1">
                  <c:v>0.25712500000000005</c:v>
                </c:pt>
                <c:pt idx="2">
                  <c:v>0.28999999999999998</c:v>
                </c:pt>
                <c:pt idx="3">
                  <c:v>0.35</c:v>
                </c:pt>
                <c:pt idx="4">
                  <c:v>0.43</c:v>
                </c:pt>
                <c:pt idx="5">
                  <c:v>0.49</c:v>
                </c:pt>
                <c:pt idx="6">
                  <c:v>0.55000000000000004</c:v>
                </c:pt>
                <c:pt idx="7">
                  <c:v>0.64</c:v>
                </c:pt>
                <c:pt idx="8">
                  <c:v>0.7</c:v>
                </c:pt>
                <c:pt idx="9">
                  <c:v>0.76</c:v>
                </c:pt>
                <c:pt idx="10">
                  <c:v>0.82000000000000006</c:v>
                </c:pt>
                <c:pt idx="11">
                  <c:v>0.88000000000000012</c:v>
                </c:pt>
                <c:pt idx="12">
                  <c:v>0.94000000000000017</c:v>
                </c:pt>
              </c:numCache>
            </c:numRef>
          </c:xVal>
          <c:yVal>
            <c:numRef>
              <c:f>Лист1!$E$58:$E$70</c:f>
              <c:numCache>
                <c:formatCode>General</c:formatCode>
                <c:ptCount val="13"/>
                <c:pt idx="0" formatCode="0.00">
                  <c:v>19.240000000000002</c:v>
                </c:pt>
                <c:pt idx="2" formatCode="0.00">
                  <c:v>28.588874999999998</c:v>
                </c:pt>
                <c:pt idx="4" formatCode="0.00">
                  <c:v>37.542500000000004</c:v>
                </c:pt>
                <c:pt idx="7" formatCode="0.00">
                  <c:v>45.9</c:v>
                </c:pt>
                <c:pt idx="9" formatCode="0.00">
                  <c:v>54.378749999999997</c:v>
                </c:pt>
                <c:pt idx="11" formatCode="0.00">
                  <c:v>62.555500000000002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3F-4A6E-9530-D9D7EFD81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541408"/>
        <c:axId val="1876542656"/>
      </c:scatterChart>
      <c:scatterChart>
        <c:scatterStyle val="smoothMarker"/>
        <c:varyColors val="0"/>
        <c:ser>
          <c:idx val="0"/>
          <c:order val="0"/>
          <c:tx>
            <c:v>Теория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Лист1!$D$56:$D$70</c:f>
              <c:numCache>
                <c:formatCode>General</c:formatCode>
                <c:ptCount val="15"/>
                <c:pt idx="0">
                  <c:v>0</c:v>
                </c:pt>
                <c:pt idx="1">
                  <c:v>0.19700000000000001</c:v>
                </c:pt>
                <c:pt idx="2" formatCode="0.00">
                  <c:v>0.19712500000000002</c:v>
                </c:pt>
                <c:pt idx="3" formatCode="0.00">
                  <c:v>0.25712500000000005</c:v>
                </c:pt>
                <c:pt idx="4" formatCode="0.00">
                  <c:v>0.28999999999999998</c:v>
                </c:pt>
                <c:pt idx="5" formatCode="0.00">
                  <c:v>0.35</c:v>
                </c:pt>
                <c:pt idx="6" formatCode="0.00">
                  <c:v>0.43</c:v>
                </c:pt>
                <c:pt idx="7" formatCode="0.00">
                  <c:v>0.49</c:v>
                </c:pt>
                <c:pt idx="8" formatCode="0.00">
                  <c:v>0.55000000000000004</c:v>
                </c:pt>
                <c:pt idx="9" formatCode="0.00">
                  <c:v>0.64</c:v>
                </c:pt>
                <c:pt idx="10" formatCode="0.00">
                  <c:v>0.7</c:v>
                </c:pt>
                <c:pt idx="11" formatCode="0.00">
                  <c:v>0.76</c:v>
                </c:pt>
                <c:pt idx="12" formatCode="0.00">
                  <c:v>0.82000000000000006</c:v>
                </c:pt>
                <c:pt idx="13" formatCode="0.00">
                  <c:v>0.88000000000000012</c:v>
                </c:pt>
                <c:pt idx="14" formatCode="0.00">
                  <c:v>0.94000000000000017</c:v>
                </c:pt>
              </c:numCache>
            </c:numRef>
          </c:xVal>
          <c:yVal>
            <c:numRef>
              <c:f>Лист1!$F$56:$F$70</c:f>
              <c:numCache>
                <c:formatCode>General</c:formatCode>
                <c:ptCount val="15"/>
                <c:pt idx="0">
                  <c:v>4.34</c:v>
                </c:pt>
                <c:pt idx="1">
                  <c:v>17.507118415829112</c:v>
                </c:pt>
                <c:pt idx="2">
                  <c:v>17.51547617383536</c:v>
                </c:pt>
                <c:pt idx="3">
                  <c:v>21.527200016836364</c:v>
                </c:pt>
                <c:pt idx="4">
                  <c:v>23.725290372480657</c:v>
                </c:pt>
                <c:pt idx="5">
                  <c:v>27.737014215481654</c:v>
                </c:pt>
                <c:pt idx="6">
                  <c:v>33.085979339482989</c:v>
                </c:pt>
                <c:pt idx="7">
                  <c:v>37.09770318248399</c:v>
                </c:pt>
                <c:pt idx="8">
                  <c:v>41.10942702548499</c:v>
                </c:pt>
                <c:pt idx="9">
                  <c:v>47.127012789986487</c:v>
                </c:pt>
                <c:pt idx="10">
                  <c:v>51.138736632987481</c:v>
                </c:pt>
                <c:pt idx="11">
                  <c:v>55.150460475988488</c:v>
                </c:pt>
                <c:pt idx="12">
                  <c:v>59.162184318989489</c:v>
                </c:pt>
                <c:pt idx="13">
                  <c:v>63.173908161990489</c:v>
                </c:pt>
                <c:pt idx="14">
                  <c:v>67.185632004991504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F-4A6E-9530-D9D7EFD81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541408"/>
        <c:axId val="1876542656"/>
      </c:scatterChart>
      <c:valAx>
        <c:axId val="187654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a, </a:t>
                </a:r>
                <a:r>
                  <a:rPr lang="ru-RU"/>
                  <a:t>м</a:t>
                </a:r>
                <a:r>
                  <a:rPr lang="en-US"/>
                  <a:t>/</a:t>
                </a:r>
                <a:r>
                  <a:rPr lang="ru-RU"/>
                  <a:t>с</a:t>
                </a:r>
                <a:r>
                  <a:rPr lang="en-US"/>
                  <a:t>^2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6542656"/>
        <c:crosses val="autoZero"/>
        <c:crossBetween val="midCat"/>
      </c:valAx>
      <c:valAx>
        <c:axId val="187654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мН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654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</a:t>
            </a:r>
            <a:r>
              <a:rPr lang="en-US"/>
              <a:t>T(a)</a:t>
            </a:r>
            <a:r>
              <a:rPr lang="ru-RU"/>
              <a:t> для таблицы</a:t>
            </a:r>
            <a:r>
              <a:rPr lang="ru-RU" baseline="0"/>
              <a:t> 6.2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Точки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xVal>
            <c:numRef>
              <c:f>Лист1!$D$75:$D$84</c:f>
              <c:numCache>
                <c:formatCode>0.00</c:formatCode>
                <c:ptCount val="10"/>
                <c:pt idx="0">
                  <c:v>0.10150000000000001</c:v>
                </c:pt>
                <c:pt idx="1">
                  <c:v>0.15150000000000002</c:v>
                </c:pt>
                <c:pt idx="2">
                  <c:v>0.16</c:v>
                </c:pt>
                <c:pt idx="3">
                  <c:v>0.21000000000000002</c:v>
                </c:pt>
                <c:pt idx="4">
                  <c:v>0.23</c:v>
                </c:pt>
                <c:pt idx="5">
                  <c:v>0.26</c:v>
                </c:pt>
                <c:pt idx="6">
                  <c:v>0.31</c:v>
                </c:pt>
                <c:pt idx="7">
                  <c:v>0.36</c:v>
                </c:pt>
                <c:pt idx="8">
                  <c:v>0.42</c:v>
                </c:pt>
                <c:pt idx="9">
                  <c:v>0.5</c:v>
                </c:pt>
              </c:numCache>
            </c:numRef>
          </c:xVal>
          <c:yVal>
            <c:numRef>
              <c:f>Лист1!$E$75:$E$84</c:f>
              <c:numCache>
                <c:formatCode>0.00</c:formatCode>
                <c:ptCount val="10"/>
                <c:pt idx="0">
                  <c:v>9.7185000000000006</c:v>
                </c:pt>
                <c:pt idx="1">
                  <c:v>19.344000000000001</c:v>
                </c:pt>
                <c:pt idx="2">
                  <c:v>28.969125000000002</c:v>
                </c:pt>
                <c:pt idx="4">
                  <c:v>38.380000000000003</c:v>
                </c:pt>
                <c:pt idx="5">
                  <c:v>47.800000000000004</c:v>
                </c:pt>
                <c:pt idx="8">
                  <c:v>56.400000000000006</c:v>
                </c:pt>
                <c:pt idx="9">
                  <c:v>65.274999999999991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FD-4B26-81F6-C54499ABB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541408"/>
        <c:axId val="1876542656"/>
      </c:scatterChart>
      <c:scatterChart>
        <c:scatterStyle val="smoothMarker"/>
        <c:varyColors val="0"/>
        <c:ser>
          <c:idx val="0"/>
          <c:order val="0"/>
          <c:tx>
            <c:v>Теория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Лист1!$D$74:$D$84</c:f>
              <c:numCache>
                <c:formatCode>0.00</c:formatCode>
                <c:ptCount val="11"/>
                <c:pt idx="0" formatCode="General">
                  <c:v>0</c:v>
                </c:pt>
                <c:pt idx="1">
                  <c:v>0.10150000000000001</c:v>
                </c:pt>
                <c:pt idx="2">
                  <c:v>0.15150000000000002</c:v>
                </c:pt>
                <c:pt idx="3">
                  <c:v>0.16</c:v>
                </c:pt>
                <c:pt idx="4">
                  <c:v>0.21000000000000002</c:v>
                </c:pt>
                <c:pt idx="5">
                  <c:v>0.23</c:v>
                </c:pt>
                <c:pt idx="6">
                  <c:v>0.26</c:v>
                </c:pt>
                <c:pt idx="7">
                  <c:v>0.31</c:v>
                </c:pt>
                <c:pt idx="8">
                  <c:v>0.36</c:v>
                </c:pt>
                <c:pt idx="9">
                  <c:v>0.42</c:v>
                </c:pt>
                <c:pt idx="10">
                  <c:v>0.5</c:v>
                </c:pt>
              </c:numCache>
            </c:numRef>
          </c:xVal>
          <c:yVal>
            <c:numRef>
              <c:f>Лист1!$F$74:$F$84</c:f>
              <c:numCache>
                <c:formatCode>General</c:formatCode>
                <c:ptCount val="11"/>
                <c:pt idx="0" formatCode="0.00">
                  <c:v>4.2854574262866407</c:v>
                </c:pt>
                <c:pt idx="1">
                  <c:v>17.490655598571145</c:v>
                </c:pt>
                <c:pt idx="2">
                  <c:v>23.995679328760556</c:v>
                </c:pt>
                <c:pt idx="3">
                  <c:v>25.101533362892752</c:v>
                </c:pt>
                <c:pt idx="4">
                  <c:v>31.606557093082166</c:v>
                </c:pt>
                <c:pt idx="5">
                  <c:v>34.208566585157925</c:v>
                </c:pt>
                <c:pt idx="6">
                  <c:v>38.111580823271574</c:v>
                </c:pt>
                <c:pt idx="7">
                  <c:v>44.616604553460981</c:v>
                </c:pt>
                <c:pt idx="8">
                  <c:v>51.121628283650388</c:v>
                </c:pt>
                <c:pt idx="9">
                  <c:v>58.927656759877685</c:v>
                </c:pt>
                <c:pt idx="10">
                  <c:v>69.335694728180741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FD-4B26-81F6-C54499ABB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541408"/>
        <c:axId val="1876542656"/>
      </c:scatterChart>
      <c:valAx>
        <c:axId val="187654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a, </a:t>
                </a:r>
                <a:r>
                  <a:rPr lang="ru-RU"/>
                  <a:t>м</a:t>
                </a:r>
                <a:r>
                  <a:rPr lang="en-US"/>
                  <a:t>/</a:t>
                </a:r>
                <a:r>
                  <a:rPr lang="ru-RU"/>
                  <a:t>с</a:t>
                </a:r>
                <a:r>
                  <a:rPr lang="en-US"/>
                  <a:t>^2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6542656"/>
        <c:crosses val="autoZero"/>
        <c:crossBetween val="midCat"/>
      </c:valAx>
      <c:valAx>
        <c:axId val="187654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мН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654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55</xdr:row>
      <xdr:rowOff>47625</xdr:rowOff>
    </xdr:from>
    <xdr:to>
      <xdr:col>10</xdr:col>
      <xdr:colOff>1619250</xdr:colOff>
      <xdr:row>69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37A47FD-CEE9-424A-B571-8AF3F076F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438150</xdr:colOff>
      <xdr:row>70</xdr:row>
      <xdr:rowOff>142875</xdr:rowOff>
    </xdr:from>
    <xdr:to>
      <xdr:col>11</xdr:col>
      <xdr:colOff>114300</xdr:colOff>
      <xdr:row>85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E5D02C4-43C9-43E5-8304-2E3B2B115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V84"/>
  <sheetViews>
    <sheetView tabSelected="1" topLeftCell="B1" zoomScaleNormal="100" workbookViewId="0">
      <selection activeCell="N74" sqref="N74"/>
    </sheetView>
  </sheetViews>
  <sheetFormatPr defaultRowHeight="15" x14ac:dyDescent="0.25"/>
  <cols>
    <col min="1" max="3" width="9.140625" style="1"/>
    <col min="4" max="4" width="16.5703125" style="1" customWidth="1"/>
    <col min="5" max="5" width="14.85546875" style="1" customWidth="1"/>
    <col min="6" max="6" width="10.5703125" style="1" bestFit="1" customWidth="1"/>
    <col min="7" max="7" width="12.28515625" style="1" customWidth="1"/>
    <col min="8" max="8" width="12" style="1" customWidth="1"/>
    <col min="9" max="9" width="9.140625" style="1"/>
    <col min="10" max="10" width="14.140625" style="1" customWidth="1"/>
    <col min="11" max="11" width="25.85546875" style="1" customWidth="1"/>
    <col min="12" max="12" width="14" style="1" customWidth="1"/>
    <col min="13" max="14" width="10.5703125" style="1" bestFit="1" customWidth="1"/>
    <col min="15" max="15" width="9.140625" style="1"/>
    <col min="16" max="16" width="12.140625" style="1" customWidth="1"/>
    <col min="17" max="17" width="15" style="1" customWidth="1"/>
    <col min="18" max="18" width="12.5703125" style="1" bestFit="1" customWidth="1"/>
    <col min="19" max="19" width="12.42578125" style="1" bestFit="1" customWidth="1"/>
    <col min="20" max="20" width="10.7109375" style="1" bestFit="1" customWidth="1"/>
    <col min="21" max="21" width="11.7109375" style="1" bestFit="1" customWidth="1"/>
    <col min="22" max="22" width="12.5703125" style="1" bestFit="1" customWidth="1"/>
    <col min="23" max="16384" width="9.140625" style="1"/>
  </cols>
  <sheetData>
    <row r="1" spans="3:19" x14ac:dyDescent="0.25">
      <c r="C1" s="9" t="s">
        <v>6</v>
      </c>
      <c r="D1" s="9"/>
      <c r="E1" s="9"/>
      <c r="F1" s="9"/>
      <c r="G1" s="9"/>
      <c r="H1" s="9"/>
    </row>
    <row r="2" spans="3:19" x14ac:dyDescent="0.25">
      <c r="C2" s="4" t="s">
        <v>0</v>
      </c>
      <c r="D2" s="4" t="s">
        <v>1</v>
      </c>
      <c r="E2" s="4" t="s">
        <v>2</v>
      </c>
      <c r="F2" s="4" t="s">
        <v>30</v>
      </c>
      <c r="G2" s="4" t="s">
        <v>4</v>
      </c>
      <c r="H2" s="4" t="s">
        <v>5</v>
      </c>
      <c r="J2" s="9" t="s">
        <v>21</v>
      </c>
      <c r="K2" s="9"/>
      <c r="L2" s="9"/>
      <c r="M2" s="9"/>
      <c r="N2" s="9"/>
    </row>
    <row r="3" spans="3:19" x14ac:dyDescent="0.25">
      <c r="C3" s="4">
        <v>1</v>
      </c>
      <c r="D3" s="11">
        <v>50</v>
      </c>
      <c r="E3" s="11">
        <v>50</v>
      </c>
      <c r="F3" s="4">
        <v>0.56999999999999995</v>
      </c>
      <c r="G3" s="4">
        <v>7.0000000000000007E-2</v>
      </c>
      <c r="H3" s="4">
        <v>0.45</v>
      </c>
      <c r="J3" s="4" t="s">
        <v>0</v>
      </c>
      <c r="K3" s="4" t="s">
        <v>45</v>
      </c>
      <c r="L3" s="4" t="s">
        <v>11</v>
      </c>
      <c r="M3" s="4" t="s">
        <v>12</v>
      </c>
      <c r="N3" s="4" t="s">
        <v>13</v>
      </c>
      <c r="P3" s="9" t="s">
        <v>23</v>
      </c>
      <c r="Q3" s="9"/>
      <c r="R3" s="9"/>
      <c r="S3" s="9"/>
    </row>
    <row r="4" spans="3:19" x14ac:dyDescent="0.25">
      <c r="C4" s="4">
        <v>2</v>
      </c>
      <c r="D4" s="11"/>
      <c r="E4" s="11"/>
      <c r="F4" s="4">
        <v>0.59</v>
      </c>
      <c r="G4" s="4">
        <v>0.05</v>
      </c>
      <c r="H4" s="4">
        <v>0.45</v>
      </c>
      <c r="J4" s="4">
        <v>1</v>
      </c>
      <c r="K4" s="4" t="s">
        <v>14</v>
      </c>
      <c r="L4" s="4">
        <v>0.32</v>
      </c>
      <c r="M4" s="4">
        <v>0.51</v>
      </c>
      <c r="N4" s="4">
        <v>1</v>
      </c>
      <c r="P4" s="1" t="s">
        <v>24</v>
      </c>
      <c r="Q4" s="1">
        <v>0.3</v>
      </c>
      <c r="R4" s="1" t="s">
        <v>25</v>
      </c>
      <c r="S4" s="1">
        <v>0.7</v>
      </c>
    </row>
    <row r="5" spans="3:19" x14ac:dyDescent="0.25">
      <c r="C5" s="4">
        <v>3</v>
      </c>
      <c r="D5" s="11"/>
      <c r="E5" s="11"/>
      <c r="F5" s="4">
        <v>0.54</v>
      </c>
      <c r="G5" s="4">
        <v>0.05</v>
      </c>
      <c r="H5" s="4">
        <v>0.47</v>
      </c>
      <c r="J5" s="4">
        <v>2</v>
      </c>
      <c r="K5" s="4" t="s">
        <v>15</v>
      </c>
      <c r="L5" s="4">
        <v>0.42</v>
      </c>
      <c r="M5" s="4">
        <v>0.57999999999999996</v>
      </c>
      <c r="N5" s="4">
        <v>2</v>
      </c>
    </row>
    <row r="6" spans="3:19" x14ac:dyDescent="0.25">
      <c r="C6" s="4">
        <v>4</v>
      </c>
      <c r="D6" s="11"/>
      <c r="E6" s="11"/>
      <c r="F6" s="4">
        <v>0.55000000000000004</v>
      </c>
      <c r="G6" s="4">
        <v>0.06</v>
      </c>
      <c r="H6" s="4">
        <v>0.43</v>
      </c>
      <c r="J6" s="4">
        <v>3</v>
      </c>
      <c r="K6" s="4" t="s">
        <v>16</v>
      </c>
      <c r="L6" s="4">
        <v>0.39</v>
      </c>
      <c r="M6" s="4">
        <v>0.62</v>
      </c>
      <c r="N6" s="4">
        <v>3</v>
      </c>
    </row>
    <row r="7" spans="3:19" x14ac:dyDescent="0.25">
      <c r="C7" s="4">
        <v>5</v>
      </c>
      <c r="D7" s="11"/>
      <c r="E7" s="11"/>
      <c r="F7" s="4">
        <v>0.57999999999999996</v>
      </c>
      <c r="G7" s="4">
        <v>0.05</v>
      </c>
      <c r="H7" s="4">
        <v>0.4</v>
      </c>
      <c r="J7" s="4">
        <v>4</v>
      </c>
      <c r="K7" s="4" t="s">
        <v>17</v>
      </c>
      <c r="L7" s="4">
        <v>0.56999999999999995</v>
      </c>
      <c r="M7" s="4">
        <v>0.82</v>
      </c>
      <c r="N7" s="4">
        <v>4</v>
      </c>
    </row>
    <row r="8" spans="3:19" x14ac:dyDescent="0.25">
      <c r="J8" s="4">
        <v>5</v>
      </c>
      <c r="K8" s="4" t="s">
        <v>18</v>
      </c>
      <c r="L8" s="4">
        <v>0.64</v>
      </c>
      <c r="M8" s="4">
        <v>0.96</v>
      </c>
      <c r="N8" s="4">
        <v>5</v>
      </c>
    </row>
    <row r="9" spans="3:19" x14ac:dyDescent="0.25">
      <c r="C9" s="9" t="s">
        <v>7</v>
      </c>
      <c r="D9" s="9"/>
      <c r="E9" s="9"/>
      <c r="F9" s="9"/>
      <c r="G9" s="9"/>
      <c r="H9" s="9"/>
      <c r="J9" s="4">
        <v>6</v>
      </c>
      <c r="K9" s="4" t="s">
        <v>19</v>
      </c>
      <c r="L9" s="4">
        <v>0.69</v>
      </c>
      <c r="M9" s="4">
        <v>1.04</v>
      </c>
      <c r="N9" s="4">
        <v>6</v>
      </c>
    </row>
    <row r="10" spans="3:19" x14ac:dyDescent="0.25">
      <c r="C10" s="4" t="s">
        <v>0</v>
      </c>
      <c r="D10" s="4" t="s">
        <v>1</v>
      </c>
      <c r="E10" s="4" t="s">
        <v>2</v>
      </c>
      <c r="F10" s="4" t="s">
        <v>3</v>
      </c>
      <c r="G10" s="4" t="s">
        <v>4</v>
      </c>
      <c r="H10" s="4" t="s">
        <v>5</v>
      </c>
      <c r="J10" s="4">
        <v>7</v>
      </c>
      <c r="K10" s="4" t="s">
        <v>20</v>
      </c>
      <c r="L10" s="4">
        <v>0.74</v>
      </c>
      <c r="M10" s="4">
        <v>1.1200000000000001</v>
      </c>
      <c r="N10" s="4">
        <v>7</v>
      </c>
    </row>
    <row r="11" spans="3:19" x14ac:dyDescent="0.25">
      <c r="C11" s="4">
        <v>1</v>
      </c>
      <c r="D11" s="11">
        <v>50</v>
      </c>
      <c r="E11" s="11">
        <v>101</v>
      </c>
      <c r="F11" s="4">
        <v>0.5</v>
      </c>
      <c r="G11" s="4">
        <v>-7.0000000000000007E-2</v>
      </c>
      <c r="H11" s="4">
        <v>0.28000000000000003</v>
      </c>
    </row>
    <row r="12" spans="3:19" x14ac:dyDescent="0.25">
      <c r="C12" s="4">
        <v>2</v>
      </c>
      <c r="D12" s="11"/>
      <c r="E12" s="11"/>
      <c r="F12" s="4">
        <v>0.52</v>
      </c>
      <c r="G12" s="4">
        <v>-7.0000000000000007E-2</v>
      </c>
      <c r="H12" s="4">
        <v>0.3</v>
      </c>
      <c r="J12" s="9" t="s">
        <v>22</v>
      </c>
      <c r="K12" s="9"/>
      <c r="L12" s="9"/>
      <c r="M12" s="9"/>
      <c r="N12" s="9"/>
    </row>
    <row r="13" spans="3:19" x14ac:dyDescent="0.25">
      <c r="C13" s="4">
        <v>3</v>
      </c>
      <c r="D13" s="11"/>
      <c r="E13" s="11"/>
      <c r="F13" s="4">
        <v>0.56999999999999995</v>
      </c>
      <c r="G13" s="4">
        <v>-7.0000000000000007E-2</v>
      </c>
      <c r="H13" s="4">
        <v>0.28000000000000003</v>
      </c>
      <c r="J13" s="4" t="s">
        <v>0</v>
      </c>
      <c r="K13" s="4" t="s">
        <v>45</v>
      </c>
      <c r="L13" s="4" t="s">
        <v>11</v>
      </c>
      <c r="M13" s="4" t="s">
        <v>12</v>
      </c>
      <c r="N13" s="4" t="s">
        <v>13</v>
      </c>
    </row>
    <row r="14" spans="3:19" x14ac:dyDescent="0.25">
      <c r="C14" s="4">
        <v>4</v>
      </c>
      <c r="D14" s="11"/>
      <c r="E14" s="11"/>
      <c r="F14" s="4">
        <v>0.56000000000000005</v>
      </c>
      <c r="G14" s="4">
        <v>-7.0000000000000007E-2</v>
      </c>
      <c r="H14" s="4">
        <v>0.3</v>
      </c>
      <c r="J14" s="4">
        <v>1</v>
      </c>
      <c r="K14" s="4" t="s">
        <v>14</v>
      </c>
      <c r="L14" s="4">
        <v>0.22</v>
      </c>
      <c r="M14" s="4">
        <v>0.36</v>
      </c>
      <c r="N14" s="4">
        <v>1</v>
      </c>
    </row>
    <row r="15" spans="3:19" x14ac:dyDescent="0.25">
      <c r="C15" s="4">
        <v>5</v>
      </c>
      <c r="D15" s="11"/>
      <c r="E15" s="11"/>
      <c r="F15" s="4">
        <v>0.56999999999999995</v>
      </c>
      <c r="G15" s="4">
        <v>-7.0000000000000007E-2</v>
      </c>
      <c r="H15" s="4">
        <v>0.31</v>
      </c>
      <c r="J15" s="4">
        <v>2</v>
      </c>
      <c r="K15" s="4" t="s">
        <v>15</v>
      </c>
      <c r="L15" s="4">
        <v>0.28999999999999998</v>
      </c>
      <c r="M15" s="4">
        <v>0.45</v>
      </c>
      <c r="N15" s="4">
        <v>2</v>
      </c>
    </row>
    <row r="16" spans="3:19" x14ac:dyDescent="0.25">
      <c r="J16" s="4">
        <v>3</v>
      </c>
      <c r="K16" s="4" t="s">
        <v>16</v>
      </c>
      <c r="L16" s="4">
        <v>0.3</v>
      </c>
      <c r="M16" s="4">
        <v>0.47</v>
      </c>
      <c r="N16" s="4">
        <v>3</v>
      </c>
    </row>
    <row r="17" spans="3:15" x14ac:dyDescent="0.25">
      <c r="C17" s="9" t="s">
        <v>8</v>
      </c>
      <c r="D17" s="9"/>
      <c r="E17" s="9"/>
      <c r="F17" s="9"/>
      <c r="G17" s="9"/>
      <c r="H17" s="9"/>
      <c r="J17" s="4">
        <v>4</v>
      </c>
      <c r="K17" s="4" t="s">
        <v>17</v>
      </c>
      <c r="L17" s="4">
        <v>0.35</v>
      </c>
      <c r="M17" s="4">
        <v>0.55000000000000004</v>
      </c>
      <c r="N17" s="4">
        <v>4</v>
      </c>
    </row>
    <row r="18" spans="3:15" x14ac:dyDescent="0.25">
      <c r="C18" s="4" t="s">
        <v>0</v>
      </c>
      <c r="D18" s="4" t="s">
        <v>1</v>
      </c>
      <c r="E18" s="4" t="s">
        <v>2</v>
      </c>
      <c r="F18" s="4" t="s">
        <v>3</v>
      </c>
      <c r="G18" s="4" t="s">
        <v>9</v>
      </c>
      <c r="J18" s="4">
        <v>5</v>
      </c>
      <c r="K18" s="4" t="s">
        <v>18</v>
      </c>
      <c r="L18" s="4">
        <v>0.42</v>
      </c>
      <c r="M18" s="4">
        <v>0.62</v>
      </c>
      <c r="N18" s="4">
        <v>5</v>
      </c>
    </row>
    <row r="19" spans="3:15" x14ac:dyDescent="0.25">
      <c r="C19" s="4">
        <v>1</v>
      </c>
      <c r="D19" s="11">
        <v>53</v>
      </c>
      <c r="E19" s="11">
        <v>54</v>
      </c>
      <c r="F19" s="4">
        <v>0.52</v>
      </c>
      <c r="G19" s="4">
        <v>0.22</v>
      </c>
      <c r="J19" s="4">
        <v>6</v>
      </c>
      <c r="K19" s="4" t="s">
        <v>19</v>
      </c>
      <c r="L19" s="4">
        <v>0.46</v>
      </c>
      <c r="M19" s="4">
        <v>0.74</v>
      </c>
      <c r="N19" s="4">
        <v>6</v>
      </c>
    </row>
    <row r="20" spans="3:15" x14ac:dyDescent="0.25">
      <c r="C20" s="4">
        <v>2</v>
      </c>
      <c r="D20" s="11"/>
      <c r="E20" s="11"/>
      <c r="F20" s="4">
        <v>0.53</v>
      </c>
      <c r="G20" s="4">
        <v>0.21</v>
      </c>
      <c r="J20" s="4">
        <v>7</v>
      </c>
      <c r="K20" s="4" t="s">
        <v>20</v>
      </c>
      <c r="L20" s="4">
        <v>0.51</v>
      </c>
      <c r="M20" s="4">
        <v>0.81</v>
      </c>
      <c r="N20" s="4">
        <v>7</v>
      </c>
    </row>
    <row r="21" spans="3:15" x14ac:dyDescent="0.25">
      <c r="C21" s="4">
        <v>3</v>
      </c>
      <c r="D21" s="11"/>
      <c r="E21" s="11"/>
      <c r="F21" s="4">
        <v>0.53</v>
      </c>
      <c r="G21" s="4">
        <v>0.22</v>
      </c>
    </row>
    <row r="22" spans="3:15" x14ac:dyDescent="0.25">
      <c r="C22" s="4">
        <v>4</v>
      </c>
      <c r="D22" s="11"/>
      <c r="E22" s="11"/>
      <c r="F22" s="4">
        <v>0.53</v>
      </c>
      <c r="G22" s="4">
        <v>0.22</v>
      </c>
    </row>
    <row r="23" spans="3:15" x14ac:dyDescent="0.25">
      <c r="C23" s="4">
        <v>5</v>
      </c>
      <c r="D23" s="11"/>
      <c r="E23" s="11"/>
      <c r="F23" s="4">
        <v>0.49</v>
      </c>
      <c r="G23" s="4">
        <v>0.2</v>
      </c>
    </row>
    <row r="24" spans="3:15" x14ac:dyDescent="0.25">
      <c r="C24" s="9" t="s">
        <v>10</v>
      </c>
      <c r="D24" s="9"/>
      <c r="E24" s="9"/>
      <c r="F24" s="9"/>
      <c r="G24" s="9"/>
      <c r="H24" s="9"/>
      <c r="K24" s="2" t="s">
        <v>33</v>
      </c>
    </row>
    <row r="25" spans="3:15" x14ac:dyDescent="0.25">
      <c r="C25" s="4" t="s">
        <v>0</v>
      </c>
      <c r="D25" s="4" t="s">
        <v>1</v>
      </c>
      <c r="E25" s="4" t="s">
        <v>2</v>
      </c>
      <c r="F25" s="4" t="s">
        <v>3</v>
      </c>
      <c r="G25" s="4" t="s">
        <v>9</v>
      </c>
      <c r="J25" s="4" t="s">
        <v>26</v>
      </c>
      <c r="K25" s="4" t="s">
        <v>27</v>
      </c>
      <c r="L25" s="4" t="s">
        <v>28</v>
      </c>
      <c r="M25" s="4" t="s">
        <v>29</v>
      </c>
      <c r="N25" s="4" t="s">
        <v>31</v>
      </c>
      <c r="O25" s="4" t="s">
        <v>32</v>
      </c>
    </row>
    <row r="26" spans="3:15" x14ac:dyDescent="0.25">
      <c r="C26" s="4">
        <v>1</v>
      </c>
      <c r="D26" s="11">
        <v>53</v>
      </c>
      <c r="E26" s="11">
        <v>104</v>
      </c>
      <c r="F26" s="4">
        <v>0.51</v>
      </c>
      <c r="G26" s="4">
        <v>0.14000000000000001</v>
      </c>
      <c r="J26" s="4">
        <v>1</v>
      </c>
      <c r="K26" s="5">
        <f>$D$3*F3</f>
        <v>28.499999999999996</v>
      </c>
      <c r="L26" s="5">
        <f>$D$3*G3</f>
        <v>3.5000000000000004</v>
      </c>
      <c r="M26" s="5">
        <f>$E$3*H3</f>
        <v>22.5</v>
      </c>
      <c r="N26" s="5">
        <f>(L26+M26)/K26-1</f>
        <v>-8.7719298245613975E-2</v>
      </c>
      <c r="O26" s="5">
        <f>($D$3*G3^2+$E$3*H3^2)/($D$3*F3^2)-1</f>
        <v>-0.36164973838104031</v>
      </c>
    </row>
    <row r="27" spans="3:15" x14ac:dyDescent="0.25">
      <c r="C27" s="4">
        <v>2</v>
      </c>
      <c r="D27" s="11"/>
      <c r="E27" s="11"/>
      <c r="F27" s="4">
        <v>0.53</v>
      </c>
      <c r="G27" s="4">
        <v>0.15</v>
      </c>
      <c r="J27" s="4">
        <v>2</v>
      </c>
      <c r="K27" s="5">
        <f t="shared" ref="K27:K30" si="0">$D$3*F4</f>
        <v>29.5</v>
      </c>
      <c r="L27" s="5">
        <f t="shared" ref="L27:L30" si="1">$D$3*G4</f>
        <v>2.5</v>
      </c>
      <c r="M27" s="5">
        <f t="shared" ref="M27:M30" si="2">$E$3*H4</f>
        <v>22.5</v>
      </c>
      <c r="N27" s="5">
        <f t="shared" ref="N27:N30" si="3">(L27+M27)/K27-1</f>
        <v>-0.15254237288135597</v>
      </c>
      <c r="O27" s="5">
        <f t="shared" ref="O27:O30" si="4">($D$3*G4^2+$E$3*H4^2)/($D$3*F4^2)-1</f>
        <v>-0.41108876759551849</v>
      </c>
    </row>
    <row r="28" spans="3:15" x14ac:dyDescent="0.25">
      <c r="C28" s="4">
        <v>3</v>
      </c>
      <c r="D28" s="11"/>
      <c r="E28" s="11"/>
      <c r="F28" s="4">
        <v>0.56000000000000005</v>
      </c>
      <c r="G28" s="4">
        <v>0.15</v>
      </c>
      <c r="J28" s="4">
        <v>3</v>
      </c>
      <c r="K28" s="5">
        <f t="shared" si="0"/>
        <v>27</v>
      </c>
      <c r="L28" s="5">
        <f t="shared" si="1"/>
        <v>2.5</v>
      </c>
      <c r="M28" s="5">
        <f t="shared" si="2"/>
        <v>23.5</v>
      </c>
      <c r="N28" s="5">
        <f t="shared" si="3"/>
        <v>-3.703703703703709E-2</v>
      </c>
      <c r="O28" s="5">
        <f t="shared" si="4"/>
        <v>-0.23388203017832654</v>
      </c>
    </row>
    <row r="29" spans="3:15" x14ac:dyDescent="0.25">
      <c r="C29" s="4">
        <v>4</v>
      </c>
      <c r="D29" s="11"/>
      <c r="E29" s="11"/>
      <c r="F29" s="4">
        <v>0.56000000000000005</v>
      </c>
      <c r="G29" s="4">
        <v>0.15</v>
      </c>
      <c r="J29" s="4">
        <v>4</v>
      </c>
      <c r="K29" s="5">
        <f t="shared" si="0"/>
        <v>27.500000000000004</v>
      </c>
      <c r="L29" s="5">
        <f t="shared" si="1"/>
        <v>3</v>
      </c>
      <c r="M29" s="5">
        <f t="shared" si="2"/>
        <v>21.5</v>
      </c>
      <c r="N29" s="5">
        <f t="shared" si="3"/>
        <v>-0.10909090909090924</v>
      </c>
      <c r="O29" s="5">
        <f t="shared" si="4"/>
        <v>-0.37685950413223157</v>
      </c>
    </row>
    <row r="30" spans="3:15" x14ac:dyDescent="0.25">
      <c r="C30" s="4">
        <v>5</v>
      </c>
      <c r="D30" s="11"/>
      <c r="E30" s="11"/>
      <c r="F30" s="4">
        <v>0.56000000000000005</v>
      </c>
      <c r="G30" s="4">
        <v>0.15</v>
      </c>
      <c r="J30" s="4">
        <v>5</v>
      </c>
      <c r="K30" s="5">
        <f t="shared" si="0"/>
        <v>28.999999999999996</v>
      </c>
      <c r="L30" s="5">
        <f t="shared" si="1"/>
        <v>2.5</v>
      </c>
      <c r="M30" s="5">
        <f t="shared" si="2"/>
        <v>20</v>
      </c>
      <c r="N30" s="5">
        <f t="shared" si="3"/>
        <v>-0.22413793103448265</v>
      </c>
      <c r="O30" s="5">
        <f t="shared" si="4"/>
        <v>-0.51694411414982155</v>
      </c>
    </row>
    <row r="32" spans="3:15" x14ac:dyDescent="0.25">
      <c r="K32" s="1" t="s">
        <v>52</v>
      </c>
      <c r="L32" s="1" t="s">
        <v>53</v>
      </c>
      <c r="M32" s="1" t="s">
        <v>31</v>
      </c>
      <c r="N32" s="1" t="s">
        <v>32</v>
      </c>
    </row>
    <row r="33" spans="3:15" x14ac:dyDescent="0.25">
      <c r="E33" s="2" t="s">
        <v>35</v>
      </c>
      <c r="K33" s="6">
        <f>(SUM(N26:N30))/5</f>
        <v>-0.12210550965787978</v>
      </c>
      <c r="L33" s="6">
        <f>(SUM(O26:O30))/5</f>
        <v>-0.3800848308873877</v>
      </c>
      <c r="M33" s="6" cm="1">
        <f t="array" ref="M33">2.8*((SUM((N26:N30-$K$33)^2))/(5*4))^0.5</f>
        <v>8.8378605942988242E-2</v>
      </c>
      <c r="N33" s="6" cm="1">
        <f t="array" ref="N33">2.8*((SUM((O26:O30-$L$33)^2))/(5*4))^0.5</f>
        <v>0.12741880139740117</v>
      </c>
    </row>
    <row r="34" spans="3:15" x14ac:dyDescent="0.25">
      <c r="C34" s="4" t="s">
        <v>26</v>
      </c>
      <c r="D34" s="4" t="s">
        <v>36</v>
      </c>
      <c r="E34" s="4" t="s">
        <v>37</v>
      </c>
      <c r="F34" s="4" t="s">
        <v>31</v>
      </c>
      <c r="G34" s="4" t="s">
        <v>54</v>
      </c>
      <c r="H34" s="4" t="s">
        <v>55</v>
      </c>
    </row>
    <row r="35" spans="3:15" x14ac:dyDescent="0.25">
      <c r="C35" s="4">
        <v>1</v>
      </c>
      <c r="D35" s="4">
        <f>$D$19*F19</f>
        <v>27.560000000000002</v>
      </c>
      <c r="E35" s="4">
        <f>($D$19+$E$19)*G19</f>
        <v>23.54</v>
      </c>
      <c r="F35" s="5">
        <f>E35/D35-1</f>
        <v>-0.14586357039187237</v>
      </c>
      <c r="G35" s="5">
        <f>(($D$19+$E$19)*G19^2)/($D$19*F19^2)-1</f>
        <v>-0.63863458747348445</v>
      </c>
      <c r="H35" s="10">
        <f>-($E$19)/($D$19+$E$19)</f>
        <v>-0.50467289719626163</v>
      </c>
      <c r="K35" s="2" t="s">
        <v>34</v>
      </c>
    </row>
    <row r="36" spans="3:15" x14ac:dyDescent="0.25">
      <c r="C36" s="4">
        <v>2</v>
      </c>
      <c r="D36" s="4">
        <f t="shared" ref="D36:D39" si="5">$D$19*F20</f>
        <v>28.09</v>
      </c>
      <c r="E36" s="4">
        <f t="shared" ref="E36:E39" si="6">($D$19+$E$19)*G20</f>
        <v>22.47</v>
      </c>
      <c r="F36" s="5">
        <f t="shared" ref="F36:F39" si="7">E36/D36-1</f>
        <v>-0.20007119971520115</v>
      </c>
      <c r="G36" s="5">
        <f t="shared" ref="G36:G39" si="8">(($D$19+$E$19)*G20^2)/($D$19*F20^2)-1</f>
        <v>-0.68304707913243834</v>
      </c>
      <c r="H36" s="10"/>
      <c r="J36" s="4" t="s">
        <v>26</v>
      </c>
      <c r="K36" s="4" t="s">
        <v>27</v>
      </c>
      <c r="L36" s="4" t="s">
        <v>28</v>
      </c>
      <c r="M36" s="4" t="s">
        <v>29</v>
      </c>
      <c r="N36" s="4" t="s">
        <v>31</v>
      </c>
      <c r="O36" s="4" t="s">
        <v>32</v>
      </c>
    </row>
    <row r="37" spans="3:15" x14ac:dyDescent="0.25">
      <c r="C37" s="4">
        <v>3</v>
      </c>
      <c r="D37" s="4">
        <f t="shared" si="5"/>
        <v>28.09</v>
      </c>
      <c r="E37" s="4">
        <f t="shared" si="6"/>
        <v>23.54</v>
      </c>
      <c r="F37" s="5">
        <f t="shared" si="7"/>
        <v>-0.16197935208259173</v>
      </c>
      <c r="G37" s="5">
        <f t="shared" si="8"/>
        <v>-0.65214237256258523</v>
      </c>
      <c r="H37" s="10"/>
      <c r="J37" s="4">
        <v>1</v>
      </c>
      <c r="K37" s="8">
        <f>$D$11*F11</f>
        <v>25</v>
      </c>
      <c r="L37" s="8">
        <f>$D$11*G11</f>
        <v>-3.5000000000000004</v>
      </c>
      <c r="M37" s="8">
        <f>$E$11*H11</f>
        <v>28.28</v>
      </c>
      <c r="N37" s="8">
        <f>(L37+M37)/K37-1</f>
        <v>-8.799999999999919E-3</v>
      </c>
      <c r="O37" s="8">
        <f>($D$11*G11^2+$E$11*H11^2)/($D$11*F11^2)-1</f>
        <v>-0.3469279999999999</v>
      </c>
    </row>
    <row r="38" spans="3:15" x14ac:dyDescent="0.25">
      <c r="C38" s="4">
        <v>4</v>
      </c>
      <c r="D38" s="4">
        <f t="shared" si="5"/>
        <v>28.09</v>
      </c>
      <c r="E38" s="4">
        <f t="shared" si="6"/>
        <v>23.54</v>
      </c>
      <c r="F38" s="5">
        <f t="shared" si="7"/>
        <v>-0.16197935208259173</v>
      </c>
      <c r="G38" s="5">
        <f t="shared" si="8"/>
        <v>-0.65214237256258523</v>
      </c>
      <c r="H38" s="10"/>
      <c r="J38" s="4">
        <v>2</v>
      </c>
      <c r="K38" s="8">
        <f t="shared" ref="K38:K41" si="9">$D$11*F12</f>
        <v>26</v>
      </c>
      <c r="L38" s="8">
        <f t="shared" ref="L38:L41" si="10">$D$11*G12</f>
        <v>-3.5000000000000004</v>
      </c>
      <c r="M38" s="8">
        <f t="shared" ref="M38:M41" si="11">$E$11*H12</f>
        <v>30.299999999999997</v>
      </c>
      <c r="N38" s="8">
        <f t="shared" ref="N38:N41" si="12">(L38+M38)/K38-1</f>
        <v>3.076923076923066E-2</v>
      </c>
      <c r="O38" s="8">
        <f t="shared" ref="O38:O41" si="13">($D$11*G12^2+$E$11*H12^2)/($D$11*F12^2)-1</f>
        <v>-0.30954142011834329</v>
      </c>
    </row>
    <row r="39" spans="3:15" x14ac:dyDescent="0.25">
      <c r="C39" s="4">
        <v>5</v>
      </c>
      <c r="D39" s="4">
        <f t="shared" si="5"/>
        <v>25.97</v>
      </c>
      <c r="E39" s="4">
        <f t="shared" si="6"/>
        <v>21.400000000000002</v>
      </c>
      <c r="F39" s="5">
        <f t="shared" si="7"/>
        <v>-0.17597227570273377</v>
      </c>
      <c r="G39" s="5">
        <f t="shared" si="8"/>
        <v>-0.66366215334805456</v>
      </c>
      <c r="H39" s="10"/>
      <c r="J39" s="4">
        <v>3</v>
      </c>
      <c r="K39" s="8">
        <f t="shared" si="9"/>
        <v>28.499999999999996</v>
      </c>
      <c r="L39" s="8">
        <f t="shared" si="10"/>
        <v>-3.5000000000000004</v>
      </c>
      <c r="M39" s="8">
        <f t="shared" si="11"/>
        <v>28.28</v>
      </c>
      <c r="N39" s="8">
        <f t="shared" si="12"/>
        <v>-0.13052631578947349</v>
      </c>
      <c r="O39" s="8">
        <f t="shared" si="13"/>
        <v>-0.49748230224684509</v>
      </c>
    </row>
    <row r="40" spans="3:15" x14ac:dyDescent="0.25">
      <c r="J40" s="4">
        <v>4</v>
      </c>
      <c r="K40" s="8">
        <f t="shared" si="9"/>
        <v>28.000000000000004</v>
      </c>
      <c r="L40" s="8">
        <f t="shared" si="10"/>
        <v>-3.5000000000000004</v>
      </c>
      <c r="M40" s="8">
        <f t="shared" si="11"/>
        <v>30.299999999999997</v>
      </c>
      <c r="N40" s="8">
        <f t="shared" si="12"/>
        <v>-4.2857142857143038E-2</v>
      </c>
      <c r="O40" s="8">
        <f t="shared" si="13"/>
        <v>-0.4046556122448981</v>
      </c>
    </row>
    <row r="41" spans="3:15" x14ac:dyDescent="0.25">
      <c r="D41" s="1" t="s">
        <v>52</v>
      </c>
      <c r="E41" s="1" t="s">
        <v>56</v>
      </c>
      <c r="F41" s="1" t="s">
        <v>31</v>
      </c>
      <c r="G41" s="1" t="s">
        <v>38</v>
      </c>
      <c r="J41" s="4">
        <v>5</v>
      </c>
      <c r="K41" s="8">
        <f t="shared" si="9"/>
        <v>28.499999999999996</v>
      </c>
      <c r="L41" s="8">
        <f t="shared" si="10"/>
        <v>-3.5000000000000004</v>
      </c>
      <c r="M41" s="8">
        <f t="shared" si="11"/>
        <v>31.31</v>
      </c>
      <c r="N41" s="8">
        <f t="shared" si="12"/>
        <v>-2.4210526315789349E-2</v>
      </c>
      <c r="O41" s="8">
        <f t="shared" si="13"/>
        <v>-0.38743613419513689</v>
      </c>
    </row>
    <row r="42" spans="3:15" x14ac:dyDescent="0.25">
      <c r="D42" s="6">
        <f>SUM(F35:F39)/5</f>
        <v>-0.16917314999499816</v>
      </c>
      <c r="E42" s="6">
        <f>SUM(G35:G39)/5</f>
        <v>-0.65792571301582958</v>
      </c>
      <c r="F42" s="6" cm="1">
        <f t="array" ref="F42">2.8*((SUM((F35:F39-$D$42)^2))/(5*4))^0.5</f>
        <v>2.5414959642585049E-2</v>
      </c>
      <c r="G42" s="6" cm="1">
        <f t="array" ref="G42">2.8*((SUM((G35:G39-$E$42)^2))/(5*4))^0.5</f>
        <v>2.0793948488018608E-2</v>
      </c>
    </row>
    <row r="43" spans="3:15" x14ac:dyDescent="0.25">
      <c r="K43" s="1" t="s">
        <v>52</v>
      </c>
      <c r="L43" s="1" t="s">
        <v>53</v>
      </c>
      <c r="M43" s="1" t="s">
        <v>31</v>
      </c>
      <c r="N43" s="1" t="s">
        <v>32</v>
      </c>
    </row>
    <row r="44" spans="3:15" x14ac:dyDescent="0.25">
      <c r="E44" s="2" t="s">
        <v>43</v>
      </c>
      <c r="K44" s="6">
        <f>(SUM(N37:N41))/5</f>
        <v>-3.5124950838635025E-2</v>
      </c>
      <c r="L44" s="6">
        <f>(SUM(O37:O41))/5</f>
        <v>-0.38920869376104467</v>
      </c>
      <c r="M44" s="6" cm="1">
        <f t="array" ref="M44">2.8*((SUM((N37:N41-$K$44)^2))/(5*4))^0.5</f>
        <v>7.4910801717899836E-2</v>
      </c>
      <c r="N44" s="6" cm="1">
        <f t="array" ref="N44">2.8*((SUM((O37:O41-$L$44)^2))/(5*4))^0.5</f>
        <v>8.8763654735552033E-2</v>
      </c>
    </row>
    <row r="45" spans="3:15" x14ac:dyDescent="0.25">
      <c r="D45" s="4" t="s">
        <v>36</v>
      </c>
      <c r="E45" s="4" t="s">
        <v>37</v>
      </c>
      <c r="F45" s="4" t="s">
        <v>31</v>
      </c>
      <c r="G45" s="4" t="s">
        <v>54</v>
      </c>
      <c r="H45" s="4" t="s">
        <v>55</v>
      </c>
    </row>
    <row r="46" spans="3:15" x14ac:dyDescent="0.25">
      <c r="D46" s="8">
        <f>$D$26*F26</f>
        <v>27.03</v>
      </c>
      <c r="E46" s="8">
        <f>($D$26+$E$26)*G26</f>
        <v>21.98</v>
      </c>
      <c r="F46" s="8">
        <f>E46/D46-1</f>
        <v>-0.18682944876063634</v>
      </c>
      <c r="G46" s="8">
        <f>(($D$26+$E$26)*G26^2)/($D$26*F26^2)-1</f>
        <v>-0.77677671142448834</v>
      </c>
      <c r="H46" s="10">
        <f>-($E$26)/($D$26+$E$26)</f>
        <v>-0.66242038216560506</v>
      </c>
    </row>
    <row r="47" spans="3:15" x14ac:dyDescent="0.25">
      <c r="D47" s="8">
        <f t="shared" ref="D47:D50" si="14">$D$26*F27</f>
        <v>28.09</v>
      </c>
      <c r="E47" s="8">
        <f t="shared" ref="E47:E50" si="15">($D$26+$E$26)*G27</f>
        <v>23.55</v>
      </c>
      <c r="F47" s="8">
        <f t="shared" ref="F47:F50" si="16">E47/D47-1</f>
        <v>-0.16162335350658597</v>
      </c>
      <c r="G47" s="8">
        <f t="shared" ref="G47:G50" si="17">(($D$26+$E$26)*G27^2)/($D$26*F27^2)-1</f>
        <v>-0.76272359061507156</v>
      </c>
      <c r="H47" s="10"/>
    </row>
    <row r="48" spans="3:15" x14ac:dyDescent="0.25">
      <c r="D48" s="8">
        <f t="shared" si="14"/>
        <v>29.680000000000003</v>
      </c>
      <c r="E48" s="8">
        <f t="shared" si="15"/>
        <v>23.55</v>
      </c>
      <c r="F48" s="8">
        <f t="shared" si="16"/>
        <v>-0.20653638814016184</v>
      </c>
      <c r="G48" s="8">
        <f t="shared" si="17"/>
        <v>-0.7874651039661148</v>
      </c>
      <c r="H48" s="10"/>
      <c r="M48" s="2" t="s">
        <v>39</v>
      </c>
      <c r="O48" s="1" t="s">
        <v>58</v>
      </c>
    </row>
    <row r="49" spans="4:22" x14ac:dyDescent="0.25">
      <c r="D49" s="8">
        <f t="shared" si="14"/>
        <v>29.680000000000003</v>
      </c>
      <c r="E49" s="8">
        <f t="shared" si="15"/>
        <v>23.55</v>
      </c>
      <c r="F49" s="8">
        <f t="shared" si="16"/>
        <v>-0.20653638814016184</v>
      </c>
      <c r="G49" s="8">
        <f t="shared" si="17"/>
        <v>-0.7874651039661148</v>
      </c>
      <c r="H49" s="10"/>
      <c r="L49" s="4" t="s">
        <v>26</v>
      </c>
      <c r="M49" s="4" t="s">
        <v>40</v>
      </c>
      <c r="N49" s="4" t="s">
        <v>41</v>
      </c>
      <c r="O49" s="4" t="s">
        <v>42</v>
      </c>
      <c r="P49" s="1" t="s">
        <v>46</v>
      </c>
      <c r="Q49" s="1" t="s">
        <v>47</v>
      </c>
      <c r="R49" s="1" t="s">
        <v>57</v>
      </c>
      <c r="S49" s="1" t="s">
        <v>49</v>
      </c>
      <c r="T49" s="1" t="s">
        <v>50</v>
      </c>
      <c r="U49" s="1" t="s">
        <v>51</v>
      </c>
      <c r="V49" s="1" t="s">
        <v>60</v>
      </c>
    </row>
    <row r="50" spans="4:22" x14ac:dyDescent="0.25">
      <c r="D50" s="8">
        <f t="shared" si="14"/>
        <v>29.680000000000003</v>
      </c>
      <c r="E50" s="8">
        <f t="shared" si="15"/>
        <v>23.55</v>
      </c>
      <c r="F50" s="8">
        <f t="shared" si="16"/>
        <v>-0.20653638814016184</v>
      </c>
      <c r="G50" s="8">
        <f t="shared" si="17"/>
        <v>-0.7874651039661148</v>
      </c>
      <c r="H50" s="10"/>
      <c r="L50" s="4">
        <v>1</v>
      </c>
      <c r="M50" s="4">
        <v>1</v>
      </c>
      <c r="N50" s="7">
        <f>((M4)^2-(L4)^2)/(2*($S$4-$Q$4))</f>
        <v>0.19712500000000002</v>
      </c>
      <c r="O50" s="5">
        <f>M50*(9.82-N50)</f>
        <v>9.6228750000000005</v>
      </c>
      <c r="P50" s="6">
        <f>1/7*(SUM(N50:N56))</f>
        <v>0.4860357142857144</v>
      </c>
      <c r="Q50" s="6">
        <f>1/7*(SUM(O50:O56))</f>
        <v>36.832642857142858</v>
      </c>
      <c r="R50" s="6" cm="1">
        <f t="array" ref="R50">(SUM((N50:N56-$P$50)*(O50:O56-$Q$50)))/(SUM((N50:N56-$P$50)^2))</f>
        <v>66.862064050016656</v>
      </c>
      <c r="S50" s="6">
        <f>O50-($P$53+$R$50*N50)</f>
        <v>-7.8926011738353594</v>
      </c>
      <c r="T50" s="6" cm="1">
        <f t="array" ref="T50">SUMSQ((N50:N56-$P$50))</f>
        <v>0.46127455357142894</v>
      </c>
      <c r="U50" s="6">
        <f>(1/7+($P$50^2/T50))*(SUMSQ(S50:S56))/5</f>
        <v>14.139784908102119</v>
      </c>
      <c r="V50" s="6">
        <f>1/T50*(SUMSQ(S50:S56))/5</f>
        <v>46.800786249903666</v>
      </c>
    </row>
    <row r="51" spans="4:22" x14ac:dyDescent="0.25">
      <c r="L51" s="4">
        <v>2</v>
      </c>
      <c r="M51" s="4">
        <v>2</v>
      </c>
      <c r="N51" s="5">
        <f t="shared" ref="N51:N56" si="18">((M5)^2-(L5)^2)/(2*($S$4-$Q$4))</f>
        <v>0.2</v>
      </c>
      <c r="O51" s="5">
        <f>M51*(9.82-N51)</f>
        <v>19.240000000000002</v>
      </c>
      <c r="S51" s="6">
        <f t="shared" ref="S51:S56" si="19">O51-($P$53+$R$50*N51)</f>
        <v>1.532295392020842</v>
      </c>
      <c r="U51" s="1" t="s">
        <v>59</v>
      </c>
      <c r="V51" s="6">
        <f>2.78*(V50)^0.5</f>
        <v>19.018285844254088</v>
      </c>
    </row>
    <row r="52" spans="4:22" x14ac:dyDescent="0.25">
      <c r="D52" s="1" t="s">
        <v>52</v>
      </c>
      <c r="E52" s="1" t="s">
        <v>56</v>
      </c>
      <c r="F52" s="1" t="s">
        <v>31</v>
      </c>
      <c r="G52" s="1" t="s">
        <v>38</v>
      </c>
      <c r="L52" s="4">
        <v>3</v>
      </c>
      <c r="M52" s="4">
        <v>3</v>
      </c>
      <c r="N52" s="5">
        <f>((M6)^2-(L6)^2)/(2*($S$4-$Q$4))</f>
        <v>0.29037500000000005</v>
      </c>
      <c r="O52" s="5">
        <f t="shared" ref="O52:O56" si="20">M52*(9.82-N52)</f>
        <v>28.588874999999998</v>
      </c>
      <c r="P52" s="1" t="s">
        <v>48</v>
      </c>
      <c r="S52" s="6">
        <f t="shared" si="19"/>
        <v>4.8385113535005821</v>
      </c>
      <c r="U52" s="1" t="s">
        <v>63</v>
      </c>
      <c r="V52" s="6">
        <f>V51/R50*100</f>
        <v>28.444060341941164</v>
      </c>
    </row>
    <row r="53" spans="4:22" x14ac:dyDescent="0.25">
      <c r="D53" s="6">
        <f>SUM(F46:F50)/5</f>
        <v>-0.19361239333754157</v>
      </c>
      <c r="E53" s="6">
        <f>SUM(G46:G50)/5</f>
        <v>-0.78037912278758093</v>
      </c>
      <c r="F53" s="6" cm="1">
        <f t="array" ref="F53">2.8*((SUM((F46:F50-$D$53)^2))/(5*4))^0.5</f>
        <v>2.4811191126473668E-2</v>
      </c>
      <c r="G53" s="6" cm="1">
        <f t="array" ref="G53">2.8*((SUM((G46:G50-$E$53)^2))/(5*4))^0.5</f>
        <v>1.3650230771336281E-2</v>
      </c>
      <c r="L53" s="4">
        <v>4</v>
      </c>
      <c r="M53" s="4">
        <v>4</v>
      </c>
      <c r="N53" s="5">
        <f t="shared" si="18"/>
        <v>0.43437499999999996</v>
      </c>
      <c r="O53" s="5">
        <f t="shared" si="20"/>
        <v>37.542500000000004</v>
      </c>
      <c r="P53" s="6">
        <f>Q50-R50*P50</f>
        <v>4.3352917979758274</v>
      </c>
      <c r="S53" s="6">
        <f>O53-($P$53+$R$50*N53)</f>
        <v>4.163999130298194</v>
      </c>
    </row>
    <row r="54" spans="4:22" x14ac:dyDescent="0.25">
      <c r="L54" s="4">
        <v>5</v>
      </c>
      <c r="M54" s="4">
        <v>5</v>
      </c>
      <c r="N54" s="5">
        <f t="shared" si="18"/>
        <v>0.64</v>
      </c>
      <c r="O54" s="5">
        <f t="shared" si="20"/>
        <v>45.9</v>
      </c>
      <c r="S54" s="6">
        <f>O54-($P$53+$R$50*N54)</f>
        <v>-1.2270127899864889</v>
      </c>
    </row>
    <row r="55" spans="4:22" x14ac:dyDescent="0.25">
      <c r="D55" s="1" t="s">
        <v>61</v>
      </c>
      <c r="E55" s="1" t="s">
        <v>62</v>
      </c>
      <c r="F55" s="1" t="s">
        <v>62</v>
      </c>
      <c r="L55" s="4">
        <v>6</v>
      </c>
      <c r="M55" s="4">
        <v>6</v>
      </c>
      <c r="N55" s="5">
        <f t="shared" si="18"/>
        <v>0.7568750000000003</v>
      </c>
      <c r="O55" s="5">
        <f t="shared" si="20"/>
        <v>54.378749999999997</v>
      </c>
      <c r="S55" s="6">
        <f t="shared" si="19"/>
        <v>-0.56276652583220965</v>
      </c>
    </row>
    <row r="56" spans="4:22" x14ac:dyDescent="0.25">
      <c r="D56" s="1">
        <v>0</v>
      </c>
      <c r="E56" s="6">
        <f>P53</f>
        <v>4.3352917979758274</v>
      </c>
      <c r="F56" s="1">
        <v>4.34</v>
      </c>
      <c r="L56" s="4">
        <v>7</v>
      </c>
      <c r="M56" s="4">
        <v>7</v>
      </c>
      <c r="N56" s="5">
        <f t="shared" si="18"/>
        <v>0.88350000000000029</v>
      </c>
      <c r="O56" s="5">
        <f t="shared" si="20"/>
        <v>62.555500000000002</v>
      </c>
      <c r="S56" s="6">
        <f t="shared" si="19"/>
        <v>-0.85242538616555663</v>
      </c>
    </row>
    <row r="57" spans="4:22" x14ac:dyDescent="0.25">
      <c r="D57" s="1">
        <v>0.19700000000000001</v>
      </c>
      <c r="E57" s="6">
        <f>O50</f>
        <v>9.6228750000000005</v>
      </c>
      <c r="F57" s="1">
        <f>$P$53+$R$50*D57</f>
        <v>17.507118415829112</v>
      </c>
    </row>
    <row r="58" spans="4:22" x14ac:dyDescent="0.25">
      <c r="D58" s="6">
        <f>N50</f>
        <v>0.19712500000000002</v>
      </c>
      <c r="E58" s="6">
        <f>O51</f>
        <v>19.240000000000002</v>
      </c>
      <c r="F58" s="3">
        <f t="shared" ref="F58:F70" si="21">$P$53+$R$50*D58</f>
        <v>17.51547617383536</v>
      </c>
      <c r="M58" s="2" t="s">
        <v>44</v>
      </c>
    </row>
    <row r="59" spans="4:22" x14ac:dyDescent="0.25">
      <c r="D59" s="6">
        <f>D58+0.06</f>
        <v>0.25712500000000005</v>
      </c>
      <c r="F59" s="3">
        <f t="shared" si="21"/>
        <v>21.527200016836364</v>
      </c>
      <c r="L59" s="4" t="s">
        <v>26</v>
      </c>
      <c r="M59" s="4" t="s">
        <v>40</v>
      </c>
      <c r="N59" s="4" t="s">
        <v>41</v>
      </c>
      <c r="O59" s="4" t="s">
        <v>42</v>
      </c>
      <c r="P59" s="1" t="s">
        <v>46</v>
      </c>
      <c r="Q59" s="1" t="s">
        <v>47</v>
      </c>
      <c r="R59" s="1" t="s">
        <v>57</v>
      </c>
      <c r="S59" s="1" t="s">
        <v>49</v>
      </c>
      <c r="T59" s="1" t="s">
        <v>50</v>
      </c>
      <c r="U59" s="1" t="s">
        <v>51</v>
      </c>
      <c r="V59" s="1" t="s">
        <v>60</v>
      </c>
    </row>
    <row r="60" spans="4:22" x14ac:dyDescent="0.25">
      <c r="D60" s="6">
        <f>0.29</f>
        <v>0.28999999999999998</v>
      </c>
      <c r="E60" s="6">
        <f>O52</f>
        <v>28.588874999999998</v>
      </c>
      <c r="F60" s="3">
        <f t="shared" si="21"/>
        <v>23.725290372480657</v>
      </c>
      <c r="L60" s="4">
        <v>1</v>
      </c>
      <c r="M60" s="4">
        <v>1</v>
      </c>
      <c r="N60" s="8">
        <f t="shared" ref="N60:N66" si="22">((M14)^2-(L14)^2)/(2*($S$4-$Q$4))</f>
        <v>0.10150000000000001</v>
      </c>
      <c r="O60" s="8">
        <f>M60*(9.82-N60)</f>
        <v>9.7185000000000006</v>
      </c>
      <c r="P60" s="6">
        <f>1/7*(SUM(N60:N66))</f>
        <v>0.25901785714285719</v>
      </c>
      <c r="Q60" s="6">
        <f>1/7*(SUM(O60:O66))</f>
        <v>37.983803571428574</v>
      </c>
      <c r="R60" s="6" cm="1">
        <f t="array" ref="R60">(SUM((N60:N66-$P$60)*(O60:O66-$Q$60)))/(SUM((N60:N66-$P$60)^2))</f>
        <v>130.1004746037882</v>
      </c>
      <c r="S60" s="6">
        <f>O60-($P$63+$R$60*N60)</f>
        <v>-7.7721555985711444</v>
      </c>
      <c r="T60" s="6" cm="1">
        <f t="array" ref="T60">SUMSQ((N60:N66-$P$60))</f>
        <v>0.12899763839285722</v>
      </c>
      <c r="U60" s="6">
        <f>(1/7+($P$60^2/T60))*(SUMSQ(S60:S66))/5</f>
        <v>29.790574314251181</v>
      </c>
      <c r="V60" s="6">
        <f>1/T60*(SUMSQ(S60:S66))/5</f>
        <v>348.35245890957327</v>
      </c>
    </row>
    <row r="61" spans="4:22" x14ac:dyDescent="0.25">
      <c r="D61" s="6">
        <f>D60+0.06</f>
        <v>0.35</v>
      </c>
      <c r="F61" s="3">
        <f t="shared" si="21"/>
        <v>27.737014215481654</v>
      </c>
      <c r="L61" s="4">
        <v>2</v>
      </c>
      <c r="M61" s="4">
        <v>2</v>
      </c>
      <c r="N61" s="8">
        <f t="shared" si="22"/>
        <v>0.14800000000000005</v>
      </c>
      <c r="O61" s="8">
        <f t="shared" ref="O61:O66" si="23">M61*(9.82-N61)</f>
        <v>19.344000000000001</v>
      </c>
      <c r="S61" s="6">
        <f t="shared" ref="S61:S66" si="24">O61-($P$63+$R$60*N61)</f>
        <v>-4.1963276676472994</v>
      </c>
      <c r="U61" s="1" t="s">
        <v>59</v>
      </c>
      <c r="V61" s="6">
        <f>2.78*(V60)^0.5</f>
        <v>51.886483244066042</v>
      </c>
    </row>
    <row r="62" spans="4:22" x14ac:dyDescent="0.25">
      <c r="D62" s="6">
        <f>0.43</f>
        <v>0.43</v>
      </c>
      <c r="E62" s="6">
        <f>O53</f>
        <v>37.542500000000004</v>
      </c>
      <c r="F62" s="3">
        <f t="shared" si="21"/>
        <v>33.085979339482989</v>
      </c>
      <c r="L62" s="4">
        <v>3</v>
      </c>
      <c r="M62" s="4">
        <v>3</v>
      </c>
      <c r="N62" s="8">
        <f t="shared" si="22"/>
        <v>0.16362499999999999</v>
      </c>
      <c r="O62" s="8">
        <f t="shared" si="23"/>
        <v>28.969125000000002</v>
      </c>
      <c r="P62" s="1" t="s">
        <v>48</v>
      </c>
      <c r="S62" s="6">
        <f t="shared" si="24"/>
        <v>3.3959774166685186</v>
      </c>
      <c r="U62" s="1" t="s">
        <v>63</v>
      </c>
      <c r="V62" s="6">
        <f>V61/R60*100</f>
        <v>39.881855467539729</v>
      </c>
    </row>
    <row r="63" spans="4:22" x14ac:dyDescent="0.25">
      <c r="D63" s="6">
        <f>D62+0.06</f>
        <v>0.49</v>
      </c>
      <c r="F63" s="3">
        <f t="shared" si="21"/>
        <v>37.09770318248399</v>
      </c>
      <c r="L63" s="4">
        <v>4</v>
      </c>
      <c r="M63" s="4">
        <v>4</v>
      </c>
      <c r="N63" s="8">
        <f t="shared" si="22"/>
        <v>0.22500000000000009</v>
      </c>
      <c r="O63" s="8">
        <f t="shared" si="23"/>
        <v>38.380000000000003</v>
      </c>
      <c r="P63" s="6">
        <f>Q60-R60*P60</f>
        <v>4.2854574262866407</v>
      </c>
      <c r="S63" s="6">
        <f t="shared" si="24"/>
        <v>4.8219357878610012</v>
      </c>
    </row>
    <row r="64" spans="4:22" x14ac:dyDescent="0.25">
      <c r="D64" s="6">
        <f>D63+0.06</f>
        <v>0.55000000000000004</v>
      </c>
      <c r="F64" s="3">
        <f t="shared" si="21"/>
        <v>41.10942702548499</v>
      </c>
      <c r="L64" s="4">
        <v>5</v>
      </c>
      <c r="M64" s="4">
        <v>5</v>
      </c>
      <c r="N64" s="8">
        <f t="shared" si="22"/>
        <v>0.26000000000000006</v>
      </c>
      <c r="O64" s="8">
        <f t="shared" si="23"/>
        <v>47.800000000000004</v>
      </c>
      <c r="S64" s="6">
        <f t="shared" si="24"/>
        <v>9.6884191767284236</v>
      </c>
    </row>
    <row r="65" spans="4:19" x14ac:dyDescent="0.25">
      <c r="D65" s="6">
        <f>0.64</f>
        <v>0.64</v>
      </c>
      <c r="E65" s="6">
        <f>O54</f>
        <v>45.9</v>
      </c>
      <c r="F65" s="3">
        <f t="shared" si="21"/>
        <v>47.127012789986487</v>
      </c>
      <c r="L65" s="4">
        <v>6</v>
      </c>
      <c r="M65" s="4">
        <v>6</v>
      </c>
      <c r="N65" s="8">
        <f>((M19)^2-(L19)^2)/(2*($S$4-$Q$4))</f>
        <v>0.42</v>
      </c>
      <c r="O65" s="8">
        <f t="shared" si="23"/>
        <v>56.400000000000006</v>
      </c>
      <c r="S65" s="6">
        <f t="shared" si="24"/>
        <v>-2.5276567598776793</v>
      </c>
    </row>
    <row r="66" spans="4:19" x14ac:dyDescent="0.25">
      <c r="D66" s="6">
        <f>D65+0.06</f>
        <v>0.7</v>
      </c>
      <c r="F66" s="3">
        <f t="shared" si="21"/>
        <v>51.138736632987481</v>
      </c>
      <c r="L66" s="4">
        <v>7</v>
      </c>
      <c r="M66" s="4">
        <v>7</v>
      </c>
      <c r="N66" s="8">
        <f t="shared" si="22"/>
        <v>0.49500000000000022</v>
      </c>
      <c r="O66" s="8">
        <f t="shared" si="23"/>
        <v>65.274999999999991</v>
      </c>
      <c r="S66" s="6">
        <f t="shared" si="24"/>
        <v>-3.4101923551618398</v>
      </c>
    </row>
    <row r="67" spans="4:19" x14ac:dyDescent="0.25">
      <c r="D67" s="6">
        <f>D66+0.06</f>
        <v>0.76</v>
      </c>
      <c r="E67" s="6">
        <f>O55</f>
        <v>54.378749999999997</v>
      </c>
      <c r="F67" s="3">
        <f t="shared" si="21"/>
        <v>55.150460475988488</v>
      </c>
    </row>
    <row r="68" spans="4:19" x14ac:dyDescent="0.25">
      <c r="D68" s="6">
        <f>D67+0.06</f>
        <v>0.82000000000000006</v>
      </c>
      <c r="F68" s="3">
        <f t="shared" si="21"/>
        <v>59.162184318989489</v>
      </c>
    </row>
    <row r="69" spans="4:19" x14ac:dyDescent="0.25">
      <c r="D69" s="6">
        <f>D68+0.06</f>
        <v>0.88000000000000012</v>
      </c>
      <c r="E69" s="6">
        <f>O56</f>
        <v>62.555500000000002</v>
      </c>
      <c r="F69" s="3">
        <f t="shared" si="21"/>
        <v>63.173908161990489</v>
      </c>
    </row>
    <row r="70" spans="4:19" x14ac:dyDescent="0.25">
      <c r="D70" s="6">
        <f>D69+0.06</f>
        <v>0.94000000000000017</v>
      </c>
      <c r="F70" s="3">
        <f t="shared" si="21"/>
        <v>67.185632004991504</v>
      </c>
    </row>
    <row r="73" spans="4:19" x14ac:dyDescent="0.25">
      <c r="D73" s="1" t="s">
        <v>61</v>
      </c>
      <c r="E73" s="1" t="s">
        <v>62</v>
      </c>
      <c r="F73" s="1" t="s">
        <v>62</v>
      </c>
    </row>
    <row r="74" spans="4:19" x14ac:dyDescent="0.25">
      <c r="D74" s="1">
        <v>0</v>
      </c>
      <c r="E74" s="6">
        <f>P63</f>
        <v>4.2854574262866407</v>
      </c>
      <c r="F74" s="6">
        <f>P63</f>
        <v>4.2854574262866407</v>
      </c>
    </row>
    <row r="75" spans="4:19" x14ac:dyDescent="0.25">
      <c r="D75" s="6">
        <f>N60</f>
        <v>0.10150000000000001</v>
      </c>
      <c r="E75" s="6">
        <f>O60</f>
        <v>9.7185000000000006</v>
      </c>
      <c r="F75" s="1">
        <f>$P$63+$R$60*D75</f>
        <v>17.490655598571145</v>
      </c>
    </row>
    <row r="76" spans="4:19" x14ac:dyDescent="0.25">
      <c r="D76" s="6">
        <f>D75+0.05</f>
        <v>0.15150000000000002</v>
      </c>
      <c r="E76" s="6">
        <f>O61</f>
        <v>19.344000000000001</v>
      </c>
      <c r="F76" s="3">
        <f t="shared" ref="F76:F84" si="25">$P$63+$R$60*D76</f>
        <v>23.995679328760556</v>
      </c>
    </row>
    <row r="77" spans="4:19" x14ac:dyDescent="0.25">
      <c r="D77" s="6">
        <f>0.16</f>
        <v>0.16</v>
      </c>
      <c r="E77" s="6">
        <f>O62</f>
        <v>28.969125000000002</v>
      </c>
      <c r="F77" s="3">
        <f t="shared" si="25"/>
        <v>25.101533362892752</v>
      </c>
    </row>
    <row r="78" spans="4:19" x14ac:dyDescent="0.25">
      <c r="D78" s="6">
        <f t="shared" ref="D78:D82" si="26">D77+0.05</f>
        <v>0.21000000000000002</v>
      </c>
      <c r="F78" s="3">
        <f t="shared" si="25"/>
        <v>31.606557093082166</v>
      </c>
    </row>
    <row r="79" spans="4:19" x14ac:dyDescent="0.25">
      <c r="D79" s="6">
        <f>0.23</f>
        <v>0.23</v>
      </c>
      <c r="E79" s="6">
        <f>O63</f>
        <v>38.380000000000003</v>
      </c>
      <c r="F79" s="3">
        <f t="shared" si="25"/>
        <v>34.208566585157925</v>
      </c>
    </row>
    <row r="80" spans="4:19" x14ac:dyDescent="0.25">
      <c r="D80" s="6">
        <f>0.26</f>
        <v>0.26</v>
      </c>
      <c r="E80" s="6">
        <f>O64</f>
        <v>47.800000000000004</v>
      </c>
      <c r="F80" s="3">
        <f t="shared" si="25"/>
        <v>38.111580823271574</v>
      </c>
    </row>
    <row r="81" spans="4:6" x14ac:dyDescent="0.25">
      <c r="D81" s="6">
        <f t="shared" si="26"/>
        <v>0.31</v>
      </c>
      <c r="F81" s="3">
        <f t="shared" si="25"/>
        <v>44.616604553460981</v>
      </c>
    </row>
    <row r="82" spans="4:6" x14ac:dyDescent="0.25">
      <c r="D82" s="6">
        <f t="shared" si="26"/>
        <v>0.36</v>
      </c>
      <c r="F82" s="3">
        <f t="shared" si="25"/>
        <v>51.121628283650388</v>
      </c>
    </row>
    <row r="83" spans="4:6" x14ac:dyDescent="0.25">
      <c r="D83" s="6">
        <f>0.42</f>
        <v>0.42</v>
      </c>
      <c r="E83" s="6">
        <f>O65</f>
        <v>56.400000000000006</v>
      </c>
      <c r="F83" s="3">
        <f t="shared" si="25"/>
        <v>58.927656759877685</v>
      </c>
    </row>
    <row r="84" spans="4:6" x14ac:dyDescent="0.25">
      <c r="D84" s="6">
        <f>0.5</f>
        <v>0.5</v>
      </c>
      <c r="E84" s="6">
        <f>O66</f>
        <v>65.274999999999991</v>
      </c>
      <c r="F84" s="3">
        <f t="shared" si="25"/>
        <v>69.335694728180741</v>
      </c>
    </row>
  </sheetData>
  <mergeCells count="17">
    <mergeCell ref="H46:H50"/>
    <mergeCell ref="C1:H1"/>
    <mergeCell ref="C9:H9"/>
    <mergeCell ref="D11:D15"/>
    <mergeCell ref="E11:E15"/>
    <mergeCell ref="H35:H39"/>
    <mergeCell ref="D26:D30"/>
    <mergeCell ref="E26:E30"/>
    <mergeCell ref="C24:H24"/>
    <mergeCell ref="D3:D7"/>
    <mergeCell ref="E3:E7"/>
    <mergeCell ref="J2:N2"/>
    <mergeCell ref="J12:N12"/>
    <mergeCell ref="P3:S3"/>
    <mergeCell ref="C17:H17"/>
    <mergeCell ref="D19:D23"/>
    <mergeCell ref="E19:E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Шульга</dc:creator>
  <cp:lastModifiedBy>ExcaliBBur Velichaishiy</cp:lastModifiedBy>
  <dcterms:created xsi:type="dcterms:W3CDTF">2015-06-05T18:19:34Z</dcterms:created>
  <dcterms:modified xsi:type="dcterms:W3CDTF">2022-04-20T19:21:21Z</dcterms:modified>
</cp:coreProperties>
</file>