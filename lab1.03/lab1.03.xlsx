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only_labs_java\physics\lab1.03\"/>
    </mc:Choice>
  </mc:AlternateContent>
  <xr:revisionPtr revIDLastSave="0" documentId="8_{7286F0E1-1BA1-4640-B655-7F1F9AE046D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66" i="1" l="1"/>
  <c r="S65" i="1"/>
  <c r="S64" i="1"/>
  <c r="S63" i="1"/>
  <c r="S61" i="1"/>
  <c r="T50" i="1" a="1"/>
  <c r="T50" i="1" s="1"/>
  <c r="S50" i="1"/>
  <c r="S51" i="1"/>
  <c r="S52" i="1"/>
  <c r="S53" i="1"/>
  <c r="S54" i="1"/>
  <c r="S55" i="1"/>
  <c r="S56" i="1"/>
  <c r="P53" i="1"/>
  <c r="O60" i="1"/>
  <c r="N60" i="1"/>
  <c r="N66" i="1"/>
  <c r="O66" i="1" s="1"/>
  <c r="N65" i="1"/>
  <c r="O65" i="1" s="1"/>
  <c r="N64" i="1"/>
  <c r="O64" i="1" s="1"/>
  <c r="N63" i="1"/>
  <c r="O63" i="1" s="1"/>
  <c r="N62" i="1"/>
  <c r="O62" i="1" s="1"/>
  <c r="S62" i="1" s="1"/>
  <c r="N61" i="1"/>
  <c r="O61" i="1" s="1"/>
  <c r="N50" i="1"/>
  <c r="E46" i="1"/>
  <c r="M37" i="1"/>
  <c r="O53" i="1"/>
  <c r="O54" i="1"/>
  <c r="O55" i="1"/>
  <c r="O56" i="1"/>
  <c r="O50" i="1"/>
  <c r="N51" i="1"/>
  <c r="O51" i="1" s="1"/>
  <c r="N52" i="1"/>
  <c r="O52" i="1" s="1"/>
  <c r="N53" i="1"/>
  <c r="N54" i="1"/>
  <c r="N55" i="1"/>
  <c r="N56" i="1"/>
  <c r="G53" i="1" a="1"/>
  <c r="G53" i="1"/>
  <c r="F53" i="1" a="1"/>
  <c r="F53" i="1"/>
  <c r="D53" i="1"/>
  <c r="H46" i="1"/>
  <c r="G47" i="1"/>
  <c r="G48" i="1"/>
  <c r="E53" i="1" s="1"/>
  <c r="G49" i="1"/>
  <c r="G50" i="1"/>
  <c r="G46" i="1"/>
  <c r="E47" i="1"/>
  <c r="E48" i="1"/>
  <c r="E49" i="1"/>
  <c r="E50" i="1"/>
  <c r="D47" i="1"/>
  <c r="D48" i="1"/>
  <c r="D49" i="1"/>
  <c r="D50" i="1"/>
  <c r="D46" i="1"/>
  <c r="F49" i="1"/>
  <c r="F47" i="1"/>
  <c r="E35" i="1"/>
  <c r="E42" i="1"/>
  <c r="G42" i="1" a="1"/>
  <c r="G42" i="1" s="1"/>
  <c r="F42" i="1" a="1"/>
  <c r="F42" i="1" s="1"/>
  <c r="N44" i="1" a="1"/>
  <c r="N44" i="1" s="1"/>
  <c r="M44" i="1" a="1"/>
  <c r="M44" i="1"/>
  <c r="L44" i="1"/>
  <c r="D42" i="1"/>
  <c r="H35" i="1"/>
  <c r="G36" i="1"/>
  <c r="G37" i="1"/>
  <c r="G38" i="1"/>
  <c r="G39" i="1"/>
  <c r="G35" i="1"/>
  <c r="F36" i="1"/>
  <c r="F37" i="1"/>
  <c r="F38" i="1"/>
  <c r="F39" i="1"/>
  <c r="F35" i="1"/>
  <c r="E36" i="1"/>
  <c r="E37" i="1"/>
  <c r="E38" i="1"/>
  <c r="E39" i="1"/>
  <c r="D36" i="1"/>
  <c r="D37" i="1"/>
  <c r="D38" i="1"/>
  <c r="D39" i="1"/>
  <c r="D35" i="1"/>
  <c r="K44" i="1"/>
  <c r="O38" i="1"/>
  <c r="O39" i="1"/>
  <c r="O40" i="1"/>
  <c r="O41" i="1"/>
  <c r="O37" i="1"/>
  <c r="N37" i="1"/>
  <c r="M38" i="1"/>
  <c r="M39" i="1"/>
  <c r="M40" i="1"/>
  <c r="M41" i="1"/>
  <c r="L38" i="1"/>
  <c r="L39" i="1"/>
  <c r="L40" i="1"/>
  <c r="L41" i="1"/>
  <c r="L37" i="1"/>
  <c r="K38" i="1"/>
  <c r="K39" i="1"/>
  <c r="K40" i="1"/>
  <c r="K41" i="1"/>
  <c r="K37" i="1"/>
  <c r="N40" i="1"/>
  <c r="N39" i="1"/>
  <c r="N38" i="1"/>
  <c r="N33" i="1" a="1"/>
  <c r="N33" i="1" s="1"/>
  <c r="M33" i="1" a="1"/>
  <c r="M33" i="1" s="1"/>
  <c r="L33" i="1"/>
  <c r="K33" i="1"/>
  <c r="O27" i="1"/>
  <c r="O28" i="1"/>
  <c r="O29" i="1"/>
  <c r="O30" i="1"/>
  <c r="O26" i="1"/>
  <c r="N27" i="1"/>
  <c r="N28" i="1"/>
  <c r="N29" i="1"/>
  <c r="N30" i="1"/>
  <c r="N26" i="1"/>
  <c r="M27" i="1"/>
  <c r="M28" i="1"/>
  <c r="M29" i="1"/>
  <c r="M30" i="1"/>
  <c r="M26" i="1"/>
  <c r="L27" i="1"/>
  <c r="L28" i="1"/>
  <c r="L29" i="1"/>
  <c r="L30" i="1"/>
  <c r="L26" i="1"/>
  <c r="K27" i="1"/>
  <c r="K28" i="1"/>
  <c r="K29" i="1"/>
  <c r="K30" i="1"/>
  <c r="K26" i="1"/>
  <c r="Q60" i="1" l="1"/>
  <c r="P60" i="1"/>
  <c r="U50" i="1"/>
  <c r="Q50" i="1"/>
  <c r="P50" i="1"/>
  <c r="F46" i="1"/>
  <c r="F48" i="1"/>
  <c r="F50" i="1"/>
  <c r="N41" i="1"/>
  <c r="R60" i="1" l="1" a="1"/>
  <c r="R60" i="1" s="1"/>
  <c r="P63" i="1" s="1"/>
  <c r="S60" i="1" s="1"/>
  <c r="R50" i="1" a="1"/>
  <c r="R5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<sst xmlns="http://schemas.openxmlformats.org/spreadsheetml/2006/main" count="122" uniqueCount="62">
  <si>
    <t>N опыта</t>
  </si>
  <si>
    <t>m1, г</t>
  </si>
  <si>
    <t>m2, г</t>
  </si>
  <si>
    <t>v10, м/с</t>
  </si>
  <si>
    <t>v1x, м/с</t>
  </si>
  <si>
    <t>v2x, м/с</t>
  </si>
  <si>
    <t>Таблица 1.1</t>
  </si>
  <si>
    <t>Таблица 1.2</t>
  </si>
  <si>
    <t>Таблица 2.1</t>
  </si>
  <si>
    <t>v, м/с</t>
  </si>
  <si>
    <t>Таблица 2.2</t>
  </si>
  <si>
    <t>v1, м/с</t>
  </si>
  <si>
    <t>v2 м/с</t>
  </si>
  <si>
    <t>m, г</t>
  </si>
  <si>
    <t>подвеска</t>
  </si>
  <si>
    <t>подвеска + одна шайба</t>
  </si>
  <si>
    <t>подвеска + две шайбы</t>
  </si>
  <si>
    <t>подвеска + три шайбы</t>
  </si>
  <si>
    <t>подвеска + четыре шайбы</t>
  </si>
  <si>
    <t>подвеска + пять шайб</t>
  </si>
  <si>
    <t>подвеска + шесть шайб</t>
  </si>
  <si>
    <t>Таблица 3.1 (M = 48 г)</t>
  </si>
  <si>
    <t>Таблица 3.2 (M = 99 г)</t>
  </si>
  <si>
    <t>Координаты оптических ворот:</t>
  </si>
  <si>
    <t>x1 (м)=</t>
  </si>
  <si>
    <t>x2 (м)=</t>
  </si>
  <si>
    <t>№</t>
  </si>
  <si>
    <t>p10x, мН*с</t>
  </si>
  <si>
    <t>p1x,мН*с</t>
  </si>
  <si>
    <t>p2x,мН*с</t>
  </si>
  <si>
    <t>/sigma_p</t>
  </si>
  <si>
    <t>/sigma_W</t>
  </si>
  <si>
    <t>v10x, м/с</t>
  </si>
  <si>
    <t>/bar /sigma_p</t>
  </si>
  <si>
    <t>/bar /sigma_W</t>
  </si>
  <si>
    <t>/delta_p</t>
  </si>
  <si>
    <t>/delta_W</t>
  </si>
  <si>
    <t>4.1</t>
  </si>
  <si>
    <t>4.2</t>
  </si>
  <si>
    <t>5.1</t>
  </si>
  <si>
    <t>p10, мН*с</t>
  </si>
  <si>
    <t>p,мН*с</t>
  </si>
  <si>
    <t>/sigma_w^(e)</t>
  </si>
  <si>
    <t>/sigma_w^(т)</t>
  </si>
  <si>
    <t>/bar /sigma_w</t>
  </si>
  <si>
    <t>/delta_w</t>
  </si>
  <si>
    <t>6.1</t>
  </si>
  <si>
    <t>m,г</t>
  </si>
  <si>
    <t>а, м/с^2</t>
  </si>
  <si>
    <t>T, мН</t>
  </si>
  <si>
    <t>5.2</t>
  </si>
  <si>
    <t>6.2</t>
  </si>
  <si>
    <t>состав гирьки</t>
  </si>
  <si>
    <t>T=ma+Fтр</t>
  </si>
  <si>
    <t>/bar a</t>
  </si>
  <si>
    <t>\bar T</t>
  </si>
  <si>
    <t>b</t>
  </si>
  <si>
    <t>Fтр</t>
  </si>
  <si>
    <t>d</t>
  </si>
  <si>
    <t>D</t>
  </si>
  <si>
    <t>Sa</t>
  </si>
  <si>
    <t>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</si>
</sst>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center"/>
    </xf>
    <xf numFmtId="49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V66"/>
  <sheetViews>
    <sheetView tabSelected="1" topLeftCell="H10" workbookViewId="0">
      <selection activeCell="O18" sqref="O18"/>
    </sheetView>
  </sheetViews>
  <sheetFormatPr defaultRowHeight="14.5" x14ac:dyDescent="0.35"/>
  <cols>
    <col min="4" max="4" width="16.6328125" customWidth="1"/>
    <col min="5" max="5" width="14.90625" customWidth="1"/>
    <col min="7" max="7" width="12.26953125" customWidth="1"/>
    <col min="8" max="8" width="12" customWidth="1"/>
    <col min="10" max="10" width="14.1796875" customWidth="1"/>
    <col min="11" max="11" width="25.81640625" customWidth="1"/>
    <col min="12" max="12" width="14" customWidth="1"/>
    <col min="14" max="14" width="9.6328125" bestFit="1" customWidth="1"/>
    <col min="16" max="16" width="12.1796875" customWidth="1"/>
    <col min="17" max="17" width="15" customWidth="1"/>
  </cols>
  <sheetData>
    <row r="1" spans="3:19" x14ac:dyDescent="0.35">
      <c r="C1" s="4" t="s">
        <v>6</v>
      </c>
      <c r="D1" s="4"/>
      <c r="E1" s="4"/>
      <c r="F1" s="4"/>
      <c r="G1" s="4"/>
      <c r="H1" s="4"/>
      <c r="J1" s="3"/>
      <c r="K1" s="3"/>
      <c r="L1" s="3"/>
      <c r="M1" s="3"/>
      <c r="N1" s="3"/>
    </row>
    <row r="2" spans="3:19" x14ac:dyDescent="0.35">
      <c r="C2" s="1" t="s">
        <v>0</v>
      </c>
      <c r="D2" s="1" t="s">
        <v>1</v>
      </c>
      <c r="E2" s="1" t="s">
        <v>2</v>
      </c>
      <c r="F2" s="1" t="s">
        <v>32</v>
      </c>
      <c r="G2" s="1" t="s">
        <v>4</v>
      </c>
      <c r="H2" s="1" t="s">
        <v>5</v>
      </c>
      <c r="J2" s="4" t="s">
        <v>21</v>
      </c>
      <c r="K2" s="4"/>
      <c r="L2" s="4"/>
      <c r="M2" s="4"/>
      <c r="N2" s="4"/>
    </row>
    <row r="3" spans="3:19" x14ac:dyDescent="0.35">
      <c r="C3" s="1">
        <v>1</v>
      </c>
      <c r="D3" s="4">
        <v>50</v>
      </c>
      <c r="E3" s="4">
        <v>50</v>
      </c>
      <c r="F3" s="1">
        <v>0.56999999999999995</v>
      </c>
      <c r="G3" s="1">
        <v>7.0000000000000007E-2</v>
      </c>
      <c r="H3" s="1">
        <v>0.45</v>
      </c>
      <c r="J3" s="1" t="s">
        <v>0</v>
      </c>
      <c r="K3" s="1" t="s">
        <v>52</v>
      </c>
      <c r="L3" s="1" t="s">
        <v>11</v>
      </c>
      <c r="M3" s="1" t="s">
        <v>12</v>
      </c>
      <c r="N3" s="1" t="s">
        <v>13</v>
      </c>
      <c r="P3" s="4" t="s">
        <v>23</v>
      </c>
      <c r="Q3" s="4"/>
      <c r="R3" s="4"/>
      <c r="S3" s="4"/>
    </row>
    <row r="4" spans="3:19" x14ac:dyDescent="0.35">
      <c r="C4" s="1">
        <v>2</v>
      </c>
      <c r="D4" s="4"/>
      <c r="E4" s="4"/>
      <c r="F4" s="1">
        <v>0.59</v>
      </c>
      <c r="G4" s="1">
        <v>0.05</v>
      </c>
      <c r="H4" s="1">
        <v>0.45</v>
      </c>
      <c r="J4" s="1">
        <v>1</v>
      </c>
      <c r="K4" s="1" t="s">
        <v>14</v>
      </c>
      <c r="L4" s="1">
        <v>0.32</v>
      </c>
      <c r="M4" s="1">
        <v>0.51</v>
      </c>
      <c r="N4" s="1">
        <v>1</v>
      </c>
      <c r="P4" t="s">
        <v>24</v>
      </c>
      <c r="Q4" s="1">
        <v>0.3</v>
      </c>
      <c r="R4" t="s">
        <v>25</v>
      </c>
      <c r="S4">
        <v>0.7</v>
      </c>
    </row>
    <row r="5" spans="3:19" x14ac:dyDescent="0.35">
      <c r="C5" s="1">
        <v>3</v>
      </c>
      <c r="D5" s="4"/>
      <c r="E5" s="4"/>
      <c r="F5" s="1">
        <v>0.54</v>
      </c>
      <c r="G5" s="1">
        <v>0.05</v>
      </c>
      <c r="H5" s="1">
        <v>0.47</v>
      </c>
      <c r="J5" s="1">
        <v>2</v>
      </c>
      <c r="K5" s="1" t="s">
        <v>15</v>
      </c>
      <c r="L5" s="1">
        <v>0.42</v>
      </c>
      <c r="M5" s="1">
        <v>0.57999999999999996</v>
      </c>
      <c r="N5" s="1">
        <v>2</v>
      </c>
    </row>
    <row r="6" spans="3:19" x14ac:dyDescent="0.35">
      <c r="C6" s="1">
        <v>4</v>
      </c>
      <c r="D6" s="4"/>
      <c r="E6" s="4"/>
      <c r="F6" s="1">
        <v>0.55000000000000004</v>
      </c>
      <c r="G6" s="1">
        <v>0.06</v>
      </c>
      <c r="H6" s="1">
        <v>0.43</v>
      </c>
      <c r="J6" s="1">
        <v>3</v>
      </c>
      <c r="K6" s="1" t="s">
        <v>16</v>
      </c>
      <c r="L6" s="1">
        <v>0.49</v>
      </c>
      <c r="M6" s="1">
        <v>0.62</v>
      </c>
      <c r="N6" s="1">
        <v>3</v>
      </c>
    </row>
    <row r="7" spans="3:19" x14ac:dyDescent="0.35">
      <c r="C7" s="1">
        <v>5</v>
      </c>
      <c r="D7" s="4"/>
      <c r="E7" s="4"/>
      <c r="F7" s="1">
        <v>0.57999999999999996</v>
      </c>
      <c r="G7" s="1">
        <v>0.05</v>
      </c>
      <c r="H7" s="1">
        <v>0.4</v>
      </c>
      <c r="J7" s="1">
        <v>4</v>
      </c>
      <c r="K7" s="1" t="s">
        <v>17</v>
      </c>
      <c r="L7" s="1">
        <v>0.56999999999999995</v>
      </c>
      <c r="M7" s="1">
        <v>0.82</v>
      </c>
      <c r="N7" s="1">
        <v>4</v>
      </c>
    </row>
    <row r="8" spans="3:19" x14ac:dyDescent="0.35">
      <c r="C8" s="1"/>
      <c r="D8" s="1"/>
      <c r="E8" s="1"/>
      <c r="F8" s="1"/>
      <c r="G8" s="1"/>
      <c r="H8" s="1"/>
      <c r="J8" s="1">
        <v>5</v>
      </c>
      <c r="K8" s="1" t="s">
        <v>18</v>
      </c>
      <c r="L8" s="1">
        <v>0.64</v>
      </c>
      <c r="M8" s="1">
        <v>0.96</v>
      </c>
      <c r="N8" s="1">
        <v>5</v>
      </c>
    </row>
    <row r="9" spans="3:19" x14ac:dyDescent="0.35">
      <c r="C9" s="4" t="s">
        <v>7</v>
      </c>
      <c r="D9" s="4"/>
      <c r="E9" s="4"/>
      <c r="F9" s="4"/>
      <c r="G9" s="4"/>
      <c r="H9" s="4"/>
      <c r="J9" s="1">
        <v>6</v>
      </c>
      <c r="K9" s="1" t="s">
        <v>19</v>
      </c>
      <c r="L9" s="1">
        <v>0.69</v>
      </c>
      <c r="M9" s="1">
        <v>1.04</v>
      </c>
      <c r="N9" s="1">
        <v>6</v>
      </c>
    </row>
    <row r="10" spans="3:19" x14ac:dyDescent="0.35"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J10" s="1">
        <v>7</v>
      </c>
      <c r="K10" s="1" t="s">
        <v>20</v>
      </c>
      <c r="L10" s="1">
        <v>0.74</v>
      </c>
      <c r="M10" s="1">
        <v>1.1200000000000001</v>
      </c>
      <c r="N10" s="1">
        <v>7</v>
      </c>
    </row>
    <row r="11" spans="3:19" x14ac:dyDescent="0.35">
      <c r="C11" s="1">
        <v>1</v>
      </c>
      <c r="D11" s="4">
        <v>50</v>
      </c>
      <c r="E11" s="4">
        <v>101</v>
      </c>
      <c r="F11" s="1">
        <v>0.5</v>
      </c>
      <c r="G11" s="1">
        <v>-7.0000000000000007E-2</v>
      </c>
      <c r="H11" s="1">
        <v>0.28000000000000003</v>
      </c>
    </row>
    <row r="12" spans="3:19" x14ac:dyDescent="0.35">
      <c r="C12" s="1">
        <v>2</v>
      </c>
      <c r="D12" s="4"/>
      <c r="E12" s="4"/>
      <c r="F12" s="1">
        <v>0.52</v>
      </c>
      <c r="G12" s="1">
        <v>-7.0000000000000007E-2</v>
      </c>
      <c r="H12" s="1">
        <v>0.3</v>
      </c>
      <c r="J12" s="4" t="s">
        <v>22</v>
      </c>
      <c r="K12" s="4"/>
      <c r="L12" s="4"/>
      <c r="M12" s="4"/>
      <c r="N12" s="4"/>
    </row>
    <row r="13" spans="3:19" x14ac:dyDescent="0.35">
      <c r="C13" s="1">
        <v>3</v>
      </c>
      <c r="D13" s="4"/>
      <c r="E13" s="4"/>
      <c r="F13" s="1">
        <v>0.56999999999999995</v>
      </c>
      <c r="G13" s="1">
        <v>-7.0000000000000007E-2</v>
      </c>
      <c r="H13" s="1">
        <v>0.28000000000000003</v>
      </c>
      <c r="J13" s="1" t="s">
        <v>0</v>
      </c>
      <c r="K13" s="1" t="s">
        <v>52</v>
      </c>
      <c r="L13" s="1" t="s">
        <v>11</v>
      </c>
      <c r="M13" s="1" t="s">
        <v>12</v>
      </c>
      <c r="N13" s="1" t="s">
        <v>13</v>
      </c>
    </row>
    <row r="14" spans="3:19" x14ac:dyDescent="0.35">
      <c r="C14" s="1">
        <v>4</v>
      </c>
      <c r="D14" s="4"/>
      <c r="E14" s="4"/>
      <c r="F14" s="1">
        <v>0.56000000000000005</v>
      </c>
      <c r="G14" s="1">
        <v>-7.0000000000000007E-2</v>
      </c>
      <c r="H14" s="1">
        <v>0.3</v>
      </c>
      <c r="J14" s="1">
        <v>1</v>
      </c>
      <c r="K14" s="1" t="s">
        <v>14</v>
      </c>
      <c r="L14" s="1">
        <v>0.22</v>
      </c>
      <c r="M14" s="1">
        <v>0.36</v>
      </c>
      <c r="N14" s="1">
        <v>1</v>
      </c>
    </row>
    <row r="15" spans="3:19" x14ac:dyDescent="0.35">
      <c r="C15" s="1">
        <v>5</v>
      </c>
      <c r="D15" s="4"/>
      <c r="E15" s="4"/>
      <c r="F15" s="1">
        <v>0.56999999999999995</v>
      </c>
      <c r="G15" s="1">
        <v>-7.0000000000000007E-2</v>
      </c>
      <c r="H15" s="1">
        <v>0.31</v>
      </c>
      <c r="J15" s="1">
        <v>2</v>
      </c>
      <c r="K15" s="1" t="s">
        <v>15</v>
      </c>
      <c r="L15" s="1">
        <v>0.28999999999999998</v>
      </c>
      <c r="M15" s="1">
        <v>0.45</v>
      </c>
      <c r="N15" s="1">
        <v>2</v>
      </c>
    </row>
    <row r="16" spans="3:19" x14ac:dyDescent="0.35">
      <c r="C16" s="1"/>
      <c r="D16" s="1"/>
      <c r="E16" s="1"/>
      <c r="F16" s="1"/>
      <c r="G16" s="1"/>
      <c r="H16" s="1"/>
      <c r="J16" s="1">
        <v>3</v>
      </c>
      <c r="K16" s="1" t="s">
        <v>16</v>
      </c>
      <c r="L16" s="1">
        <v>0.3</v>
      </c>
      <c r="M16" s="1">
        <v>0.47</v>
      </c>
      <c r="N16" s="1">
        <v>3</v>
      </c>
    </row>
    <row r="17" spans="3:15" x14ac:dyDescent="0.35">
      <c r="C17" s="4" t="s">
        <v>8</v>
      </c>
      <c r="D17" s="4"/>
      <c r="E17" s="4"/>
      <c r="F17" s="4"/>
      <c r="G17" s="4"/>
      <c r="H17" s="4"/>
      <c r="J17" s="1">
        <v>4</v>
      </c>
      <c r="K17" s="1" t="s">
        <v>17</v>
      </c>
      <c r="L17" s="1">
        <v>0.35</v>
      </c>
      <c r="M17" s="1">
        <v>0.55000000000000004</v>
      </c>
      <c r="N17" s="1">
        <v>4</v>
      </c>
    </row>
    <row r="18" spans="3:15" x14ac:dyDescent="0.35">
      <c r="C18" s="1" t="s">
        <v>0</v>
      </c>
      <c r="D18" s="1" t="s">
        <v>1</v>
      </c>
      <c r="E18" s="1" t="s">
        <v>2</v>
      </c>
      <c r="F18" s="1" t="s">
        <v>3</v>
      </c>
      <c r="G18" s="1" t="s">
        <v>9</v>
      </c>
      <c r="H18" s="1"/>
      <c r="J18" s="1">
        <v>5</v>
      </c>
      <c r="K18" s="1" t="s">
        <v>18</v>
      </c>
      <c r="L18" s="1">
        <v>0.42</v>
      </c>
      <c r="M18" s="1">
        <v>0.62</v>
      </c>
      <c r="N18" s="1">
        <v>5</v>
      </c>
    </row>
    <row r="19" spans="3:15" x14ac:dyDescent="0.35">
      <c r="C19" s="1">
        <v>1</v>
      </c>
      <c r="D19" s="4">
        <v>53</v>
      </c>
      <c r="E19" s="4">
        <v>54</v>
      </c>
      <c r="F19" s="1">
        <v>0.52</v>
      </c>
      <c r="G19" s="1">
        <v>0.22</v>
      </c>
      <c r="H19" s="1"/>
      <c r="J19" s="1">
        <v>6</v>
      </c>
      <c r="K19" s="1" t="s">
        <v>19</v>
      </c>
      <c r="L19" s="1">
        <v>0.46</v>
      </c>
      <c r="M19" s="1">
        <v>0.74</v>
      </c>
      <c r="N19" s="1">
        <v>6</v>
      </c>
    </row>
    <row r="20" spans="3:15" x14ac:dyDescent="0.35">
      <c r="C20" s="1">
        <v>2</v>
      </c>
      <c r="D20" s="4"/>
      <c r="E20" s="4"/>
      <c r="F20" s="1">
        <v>0.53</v>
      </c>
      <c r="G20" s="1">
        <v>0.21</v>
      </c>
      <c r="H20" s="1"/>
      <c r="J20" s="1">
        <v>7</v>
      </c>
      <c r="K20" s="1" t="s">
        <v>20</v>
      </c>
      <c r="L20" s="1">
        <v>0.51</v>
      </c>
      <c r="M20" s="1">
        <v>0.81</v>
      </c>
      <c r="N20" s="1">
        <v>7</v>
      </c>
    </row>
    <row r="21" spans="3:15" x14ac:dyDescent="0.35">
      <c r="C21" s="1">
        <v>3</v>
      </c>
      <c r="D21" s="4"/>
      <c r="E21" s="4"/>
      <c r="F21" s="1">
        <v>0.53</v>
      </c>
      <c r="G21" s="1">
        <v>0.22</v>
      </c>
      <c r="H21" s="1"/>
    </row>
    <row r="22" spans="3:15" x14ac:dyDescent="0.35">
      <c r="C22" s="1">
        <v>4</v>
      </c>
      <c r="D22" s="4"/>
      <c r="E22" s="4"/>
      <c r="F22" s="1">
        <v>0.53</v>
      </c>
      <c r="G22" s="1">
        <v>0.22</v>
      </c>
      <c r="H22" s="1"/>
    </row>
    <row r="23" spans="3:15" x14ac:dyDescent="0.35">
      <c r="C23" s="1">
        <v>5</v>
      </c>
      <c r="D23" s="4"/>
      <c r="E23" s="4"/>
      <c r="F23" s="1">
        <v>0.49</v>
      </c>
      <c r="G23" s="1">
        <v>0.2</v>
      </c>
      <c r="H23" s="1"/>
    </row>
    <row r="24" spans="3:15" x14ac:dyDescent="0.35">
      <c r="C24" s="4" t="s">
        <v>10</v>
      </c>
      <c r="D24" s="4"/>
      <c r="E24" s="4"/>
      <c r="F24" s="4"/>
      <c r="G24" s="4"/>
      <c r="H24" s="4"/>
      <c r="K24" s="5" t="s">
        <v>37</v>
      </c>
    </row>
    <row r="25" spans="3:15" x14ac:dyDescent="0.35">
      <c r="C25" s="1" t="s">
        <v>0</v>
      </c>
      <c r="D25" s="1" t="s">
        <v>1</v>
      </c>
      <c r="E25" s="1" t="s">
        <v>2</v>
      </c>
      <c r="F25" s="1" t="s">
        <v>3</v>
      </c>
      <c r="G25" s="1" t="s">
        <v>9</v>
      </c>
      <c r="H25" s="1"/>
      <c r="J25" s="2" t="s">
        <v>26</v>
      </c>
      <c r="K25" s="2" t="s">
        <v>27</v>
      </c>
      <c r="L25" s="2" t="s">
        <v>28</v>
      </c>
      <c r="M25" s="2" t="s">
        <v>29</v>
      </c>
      <c r="N25" s="2" t="s">
        <v>30</v>
      </c>
      <c r="O25" s="2" t="s">
        <v>31</v>
      </c>
    </row>
    <row r="26" spans="3:15" x14ac:dyDescent="0.35">
      <c r="C26" s="1">
        <v>1</v>
      </c>
      <c r="D26" s="4">
        <v>53</v>
      </c>
      <c r="E26" s="4">
        <v>104</v>
      </c>
      <c r="F26" s="1">
        <v>0.51</v>
      </c>
      <c r="G26" s="1">
        <v>0.14000000000000001</v>
      </c>
      <c r="H26" s="1"/>
      <c r="J26">
        <v>1</v>
      </c>
      <c r="K26">
        <f>$D$3*F3</f>
        <v>28.499999999999996</v>
      </c>
      <c r="L26">
        <f>$D$3*G3</f>
        <v>3.5000000000000004</v>
      </c>
      <c r="M26">
        <f>$E$3*H3</f>
        <v>22.5</v>
      </c>
      <c r="N26">
        <f>(L26+M26)/K26-1</f>
        <v>-8.7719298245613975E-2</v>
      </c>
      <c r="O26">
        <f>($D$3*G3^2+$E$3*H3^2)/($D$3*F3^2)-1</f>
        <v>-0.36164973838104031</v>
      </c>
    </row>
    <row r="27" spans="3:15" x14ac:dyDescent="0.35">
      <c r="C27" s="1">
        <v>2</v>
      </c>
      <c r="D27" s="4"/>
      <c r="E27" s="4"/>
      <c r="F27" s="1">
        <v>0.53</v>
      </c>
      <c r="G27" s="1">
        <v>0.15</v>
      </c>
      <c r="H27" s="1"/>
      <c r="J27">
        <v>2</v>
      </c>
      <c r="K27">
        <f t="shared" ref="K27:K30" si="0">$D$3*F4</f>
        <v>29.5</v>
      </c>
      <c r="L27">
        <f t="shared" ref="L27:L30" si="1">$D$3*G4</f>
        <v>2.5</v>
      </c>
      <c r="M27">
        <f t="shared" ref="M27:M30" si="2">$E$3*H4</f>
        <v>22.5</v>
      </c>
      <c r="N27">
        <f t="shared" ref="N27:N30" si="3">(L27+M27)/K27-1</f>
        <v>-0.15254237288135597</v>
      </c>
      <c r="O27">
        <f t="shared" ref="O27:O30" si="4">($D$3*G4^2+$E$3*H4^2)/($D$3*F4^2)-1</f>
        <v>-0.41108876759551849</v>
      </c>
    </row>
    <row r="28" spans="3:15" x14ac:dyDescent="0.35">
      <c r="C28" s="1">
        <v>3</v>
      </c>
      <c r="D28" s="4"/>
      <c r="E28" s="4"/>
      <c r="F28" s="1">
        <v>0.56000000000000005</v>
      </c>
      <c r="G28" s="1">
        <v>0.15</v>
      </c>
      <c r="H28" s="1"/>
      <c r="J28">
        <v>3</v>
      </c>
      <c r="K28">
        <f t="shared" si="0"/>
        <v>27</v>
      </c>
      <c r="L28">
        <f t="shared" si="1"/>
        <v>2.5</v>
      </c>
      <c r="M28">
        <f t="shared" si="2"/>
        <v>23.5</v>
      </c>
      <c r="N28">
        <f t="shared" si="3"/>
        <v>-3.703703703703709E-2</v>
      </c>
      <c r="O28">
        <f t="shared" si="4"/>
        <v>-0.23388203017832654</v>
      </c>
    </row>
    <row r="29" spans="3:15" x14ac:dyDescent="0.35">
      <c r="C29" s="1">
        <v>4</v>
      </c>
      <c r="D29" s="4"/>
      <c r="E29" s="4"/>
      <c r="F29" s="1">
        <v>0.56000000000000005</v>
      </c>
      <c r="G29" s="1">
        <v>0.15</v>
      </c>
      <c r="H29" s="1"/>
      <c r="J29">
        <v>4</v>
      </c>
      <c r="K29">
        <f t="shared" si="0"/>
        <v>27.500000000000004</v>
      </c>
      <c r="L29">
        <f t="shared" si="1"/>
        <v>3</v>
      </c>
      <c r="M29">
        <f t="shared" si="2"/>
        <v>21.5</v>
      </c>
      <c r="N29">
        <f t="shared" si="3"/>
        <v>-0.10909090909090924</v>
      </c>
      <c r="O29">
        <f t="shared" si="4"/>
        <v>-0.37685950413223157</v>
      </c>
    </row>
    <row r="30" spans="3:15" x14ac:dyDescent="0.35">
      <c r="C30" s="1">
        <v>5</v>
      </c>
      <c r="D30" s="4"/>
      <c r="E30" s="4"/>
      <c r="F30" s="1">
        <v>0.56000000000000005</v>
      </c>
      <c r="G30" s="1">
        <v>0.15</v>
      </c>
      <c r="H30" s="1"/>
      <c r="J30">
        <v>5</v>
      </c>
      <c r="K30">
        <f t="shared" si="0"/>
        <v>28.999999999999996</v>
      </c>
      <c r="L30">
        <f t="shared" si="1"/>
        <v>2.5</v>
      </c>
      <c r="M30">
        <f t="shared" si="2"/>
        <v>20</v>
      </c>
      <c r="N30">
        <f t="shared" si="3"/>
        <v>-0.22413793103448265</v>
      </c>
      <c r="O30">
        <f t="shared" si="4"/>
        <v>-0.51694411414982155</v>
      </c>
    </row>
    <row r="32" spans="3:15" x14ac:dyDescent="0.35">
      <c r="K32" s="2" t="s">
        <v>33</v>
      </c>
      <c r="L32" s="2" t="s">
        <v>34</v>
      </c>
      <c r="M32" t="s">
        <v>35</v>
      </c>
      <c r="N32" t="s">
        <v>36</v>
      </c>
    </row>
    <row r="33" spans="3:15" x14ac:dyDescent="0.35">
      <c r="E33" s="5" t="s">
        <v>39</v>
      </c>
      <c r="K33">
        <f>(SUM(N26:N30))/5</f>
        <v>-0.12210550965787978</v>
      </c>
      <c r="L33">
        <f>(SUM(O26:O30))/5</f>
        <v>-0.3800848308873877</v>
      </c>
      <c r="M33" cm="1">
        <f t="array" ref="M33">2.8*((SUM((N26:N30-$K$33)^2))/(5*4))^0.5</f>
        <v>8.8378605942988242E-2</v>
      </c>
      <c r="N33" cm="1">
        <f t="array" ref="N33">2.8*((SUM((O26:O30-$L$33)^2))/(5*4))^0.5</f>
        <v>0.12741880139740117</v>
      </c>
    </row>
    <row r="34" spans="3:15" x14ac:dyDescent="0.35">
      <c r="C34" t="s">
        <v>26</v>
      </c>
      <c r="D34" s="2" t="s">
        <v>40</v>
      </c>
      <c r="E34" s="2" t="s">
        <v>41</v>
      </c>
      <c r="F34" t="s">
        <v>30</v>
      </c>
      <c r="G34" t="s">
        <v>42</v>
      </c>
      <c r="H34" t="s">
        <v>43</v>
      </c>
    </row>
    <row r="35" spans="3:15" x14ac:dyDescent="0.35">
      <c r="C35">
        <v>1</v>
      </c>
      <c r="D35">
        <f>$D$19*F19</f>
        <v>27.560000000000002</v>
      </c>
      <c r="E35">
        <f>($D$19+$E$19)*G19</f>
        <v>23.54</v>
      </c>
      <c r="F35">
        <f>E35/D35-1</f>
        <v>-0.14586357039187237</v>
      </c>
      <c r="G35">
        <f>(($D$19+$E$19)*G19^2)/($D$19*F19^2)-1</f>
        <v>-0.63863458747348445</v>
      </c>
      <c r="H35" s="4">
        <f>-($E$19)/($D$19+$E$19)</f>
        <v>-0.50467289719626163</v>
      </c>
      <c r="K35" s="5" t="s">
        <v>38</v>
      </c>
    </row>
    <row r="36" spans="3:15" x14ac:dyDescent="0.35">
      <c r="C36">
        <v>2</v>
      </c>
      <c r="D36">
        <f t="shared" ref="D36:D39" si="5">$D$19*F20</f>
        <v>28.09</v>
      </c>
      <c r="E36">
        <f t="shared" ref="E36:E39" si="6">($D$19+$E$19)*G20</f>
        <v>22.47</v>
      </c>
      <c r="F36">
        <f t="shared" ref="F36:F39" si="7">E36/D36-1</f>
        <v>-0.20007119971520115</v>
      </c>
      <c r="G36">
        <f t="shared" ref="G36:G39" si="8">(($D$19+$E$19)*G20^2)/($D$19*F20^2)-1</f>
        <v>-0.68304707913243834</v>
      </c>
      <c r="H36" s="4"/>
      <c r="J36" s="2" t="s">
        <v>26</v>
      </c>
      <c r="K36" s="2" t="s">
        <v>27</v>
      </c>
      <c r="L36" s="2" t="s">
        <v>28</v>
      </c>
      <c r="M36" s="2" t="s">
        <v>29</v>
      </c>
      <c r="N36" s="2" t="s">
        <v>30</v>
      </c>
      <c r="O36" s="2" t="s">
        <v>31</v>
      </c>
    </row>
    <row r="37" spans="3:15" x14ac:dyDescent="0.35">
      <c r="C37">
        <v>3</v>
      </c>
      <c r="D37">
        <f t="shared" si="5"/>
        <v>28.09</v>
      </c>
      <c r="E37">
        <f t="shared" si="6"/>
        <v>23.54</v>
      </c>
      <c r="F37">
        <f t="shared" si="7"/>
        <v>-0.16197935208259173</v>
      </c>
      <c r="G37">
        <f t="shared" si="8"/>
        <v>-0.65214237256258523</v>
      </c>
      <c r="H37" s="4"/>
      <c r="J37">
        <v>1</v>
      </c>
      <c r="K37">
        <f>$D$11*F11</f>
        <v>25</v>
      </c>
      <c r="L37">
        <f>$D$11*G11</f>
        <v>-3.5000000000000004</v>
      </c>
      <c r="M37">
        <f>$E$11*H11</f>
        <v>28.28</v>
      </c>
      <c r="N37">
        <f>(L37+M37)/K37-1</f>
        <v>-8.799999999999919E-3</v>
      </c>
      <c r="O37">
        <f>($D$11*G11^2+$E$11*H11^2)/($D$11*F11^2)-1</f>
        <v>-0.3469279999999999</v>
      </c>
    </row>
    <row r="38" spans="3:15" x14ac:dyDescent="0.35">
      <c r="C38">
        <v>4</v>
      </c>
      <c r="D38">
        <f t="shared" si="5"/>
        <v>28.09</v>
      </c>
      <c r="E38">
        <f t="shared" si="6"/>
        <v>23.54</v>
      </c>
      <c r="F38">
        <f t="shared" si="7"/>
        <v>-0.16197935208259173</v>
      </c>
      <c r="G38">
        <f t="shared" si="8"/>
        <v>-0.65214237256258523</v>
      </c>
      <c r="H38" s="4"/>
      <c r="J38">
        <v>2</v>
      </c>
      <c r="K38">
        <f t="shared" ref="K38:K41" si="9">$D$11*F12</f>
        <v>26</v>
      </c>
      <c r="L38">
        <f t="shared" ref="L38:L41" si="10">$D$11*G12</f>
        <v>-3.5000000000000004</v>
      </c>
      <c r="M38">
        <f t="shared" ref="M38:M41" si="11">$E$11*H12</f>
        <v>30.299999999999997</v>
      </c>
      <c r="N38">
        <f t="shared" ref="N38:N41" si="12">(L38+M38)/K38-1</f>
        <v>3.076923076923066E-2</v>
      </c>
      <c r="O38">
        <f t="shared" ref="O38:O41" si="13">($D$11*G12^2+$E$11*H12^2)/($D$11*F12^2)-1</f>
        <v>-0.30954142011834329</v>
      </c>
    </row>
    <row r="39" spans="3:15" x14ac:dyDescent="0.35">
      <c r="C39">
        <v>5</v>
      </c>
      <c r="D39">
        <f t="shared" si="5"/>
        <v>25.97</v>
      </c>
      <c r="E39">
        <f t="shared" si="6"/>
        <v>21.400000000000002</v>
      </c>
      <c r="F39">
        <f t="shared" si="7"/>
        <v>-0.17597227570273377</v>
      </c>
      <c r="G39">
        <f t="shared" si="8"/>
        <v>-0.66366215334805456</v>
      </c>
      <c r="H39" s="4"/>
      <c r="J39">
        <v>3</v>
      </c>
      <c r="K39">
        <f t="shared" si="9"/>
        <v>28.499999999999996</v>
      </c>
      <c r="L39">
        <f t="shared" si="10"/>
        <v>-3.5000000000000004</v>
      </c>
      <c r="M39">
        <f t="shared" si="11"/>
        <v>28.28</v>
      </c>
      <c r="N39">
        <f t="shared" si="12"/>
        <v>-0.13052631578947349</v>
      </c>
      <c r="O39">
        <f t="shared" si="13"/>
        <v>-0.49748230224684509</v>
      </c>
    </row>
    <row r="40" spans="3:15" x14ac:dyDescent="0.35">
      <c r="J40">
        <v>4</v>
      </c>
      <c r="K40">
        <f t="shared" si="9"/>
        <v>28.000000000000004</v>
      </c>
      <c r="L40">
        <f t="shared" si="10"/>
        <v>-3.5000000000000004</v>
      </c>
      <c r="M40">
        <f t="shared" si="11"/>
        <v>30.299999999999997</v>
      </c>
      <c r="N40">
        <f t="shared" si="12"/>
        <v>-4.2857142857143038E-2</v>
      </c>
      <c r="O40">
        <f t="shared" si="13"/>
        <v>-0.4046556122448981</v>
      </c>
    </row>
    <row r="41" spans="3:15" x14ac:dyDescent="0.35">
      <c r="D41" t="s">
        <v>33</v>
      </c>
      <c r="E41" t="s">
        <v>44</v>
      </c>
      <c r="F41" t="s">
        <v>35</v>
      </c>
      <c r="G41" t="s">
        <v>45</v>
      </c>
      <c r="J41">
        <v>5</v>
      </c>
      <c r="K41">
        <f t="shared" si="9"/>
        <v>28.499999999999996</v>
      </c>
      <c r="L41">
        <f t="shared" si="10"/>
        <v>-3.5000000000000004</v>
      </c>
      <c r="M41">
        <f t="shared" si="11"/>
        <v>31.31</v>
      </c>
      <c r="N41">
        <f t="shared" si="12"/>
        <v>-2.4210526315789349E-2</v>
      </c>
      <c r="O41">
        <f t="shared" si="13"/>
        <v>-0.38743613419513689</v>
      </c>
    </row>
    <row r="42" spans="3:15" x14ac:dyDescent="0.35">
      <c r="D42">
        <f>SUM(F35:F39)/5</f>
        <v>-0.16917314999499816</v>
      </c>
      <c r="E42">
        <f>SUM(G35:G39)/5</f>
        <v>-0.65792571301582958</v>
      </c>
      <c r="F42" cm="1">
        <f t="array" ref="F42">2.8*((SUM((F35:F39-$D$42)^2))/(5*4))^0.5</f>
        <v>2.5414959642585049E-2</v>
      </c>
      <c r="G42" cm="1">
        <f t="array" ref="G42">2.8*((SUM((G35:G39-$E$42)^2))/(5*4))^0.5</f>
        <v>2.0793948488018608E-2</v>
      </c>
    </row>
    <row r="43" spans="3:15" x14ac:dyDescent="0.35">
      <c r="K43" s="2" t="s">
        <v>33</v>
      </c>
      <c r="L43" s="2" t="s">
        <v>34</v>
      </c>
      <c r="M43" t="s">
        <v>35</v>
      </c>
      <c r="N43" t="s">
        <v>36</v>
      </c>
    </row>
    <row r="44" spans="3:15" x14ac:dyDescent="0.35">
      <c r="E44" s="5" t="s">
        <v>50</v>
      </c>
      <c r="K44">
        <f>(SUM(N37:N41))/5</f>
        <v>-3.5124950838635025E-2</v>
      </c>
      <c r="L44">
        <f>(SUM(O37:O41))/5</f>
        <v>-0.38920869376104467</v>
      </c>
      <c r="M44" cm="1">
        <f t="array" ref="M44">2.8*((SUM((N37:N41-$K$44)^2))/(5*4))^0.5</f>
        <v>7.4910801717899836E-2</v>
      </c>
      <c r="N44" cm="1">
        <f t="array" ref="N44">2.8*((SUM((O37:O41-$L$44)^2))/(5*4))^0.5</f>
        <v>8.8763654735552033E-2</v>
      </c>
    </row>
    <row r="45" spans="3:15" x14ac:dyDescent="0.35">
      <c r="D45" s="2" t="s">
        <v>40</v>
      </c>
      <c r="E45" s="2" t="s">
        <v>41</v>
      </c>
      <c r="F45" t="s">
        <v>30</v>
      </c>
      <c r="G45" t="s">
        <v>42</v>
      </c>
      <c r="H45" t="s">
        <v>43</v>
      </c>
    </row>
    <row r="46" spans="3:15" x14ac:dyDescent="0.35">
      <c r="D46">
        <f>$D$26*F26</f>
        <v>27.03</v>
      </c>
      <c r="E46">
        <f>($D$26+$E$26)*G26</f>
        <v>21.98</v>
      </c>
      <c r="F46">
        <f>E46/D46-1</f>
        <v>-0.18682944876063634</v>
      </c>
      <c r="G46">
        <f>(($D$26+$E$26)*G26^2)/($D$26*F26^2)-1</f>
        <v>-0.77677671142448834</v>
      </c>
      <c r="H46" s="4">
        <f>-($E$26)/($D$26+$E$26)</f>
        <v>-0.66242038216560506</v>
      </c>
    </row>
    <row r="47" spans="3:15" x14ac:dyDescent="0.35">
      <c r="D47">
        <f t="shared" ref="D47:D50" si="14">$D$26*F27</f>
        <v>28.09</v>
      </c>
      <c r="E47">
        <f t="shared" ref="E47:E50" si="15">($D$26+$E$26)*G27</f>
        <v>23.55</v>
      </c>
      <c r="F47">
        <f t="shared" ref="F47:F50" si="16">E47/D47-1</f>
        <v>-0.16162335350658597</v>
      </c>
      <c r="G47">
        <f t="shared" ref="G47:G50" si="17">(($D$26+$E$26)*G27^2)/($D$26*F27^2)-1</f>
        <v>-0.76272359061507156</v>
      </c>
      <c r="H47" s="4"/>
    </row>
    <row r="48" spans="3:15" x14ac:dyDescent="0.35">
      <c r="D48">
        <f t="shared" si="14"/>
        <v>29.680000000000003</v>
      </c>
      <c r="E48">
        <f t="shared" si="15"/>
        <v>23.55</v>
      </c>
      <c r="F48">
        <f t="shared" si="16"/>
        <v>-0.20653638814016184</v>
      </c>
      <c r="G48">
        <f t="shared" si="17"/>
        <v>-0.7874651039661148</v>
      </c>
      <c r="H48" s="4"/>
      <c r="M48" s="5" t="s">
        <v>46</v>
      </c>
      <c r="O48" t="s">
        <v>53</v>
      </c>
    </row>
    <row r="49" spans="4:22" x14ac:dyDescent="0.35">
      <c r="D49">
        <f t="shared" si="14"/>
        <v>29.680000000000003</v>
      </c>
      <c r="E49">
        <f t="shared" si="15"/>
        <v>23.55</v>
      </c>
      <c r="F49">
        <f t="shared" si="16"/>
        <v>-0.20653638814016184</v>
      </c>
      <c r="G49">
        <f t="shared" si="17"/>
        <v>-0.7874651039661148</v>
      </c>
      <c r="H49" s="4"/>
      <c r="L49" t="s">
        <v>26</v>
      </c>
      <c r="M49" t="s">
        <v>47</v>
      </c>
      <c r="N49" t="s">
        <v>48</v>
      </c>
      <c r="O49" t="s">
        <v>49</v>
      </c>
      <c r="P49" t="s">
        <v>54</v>
      </c>
      <c r="Q49" t="s">
        <v>55</v>
      </c>
      <c r="R49" t="s">
        <v>56</v>
      </c>
      <c r="S49" t="s">
        <v>58</v>
      </c>
      <c r="T49" t="s">
        <v>59</v>
      </c>
      <c r="U49" t="s">
        <v>60</v>
      </c>
      <c r="V49" t="s">
        <v>61</v>
      </c>
    </row>
    <row r="50" spans="4:22" x14ac:dyDescent="0.35">
      <c r="D50">
        <f t="shared" si="14"/>
        <v>29.680000000000003</v>
      </c>
      <c r="E50">
        <f t="shared" si="15"/>
        <v>23.55</v>
      </c>
      <c r="F50">
        <f t="shared" si="16"/>
        <v>-0.20653638814016184</v>
      </c>
      <c r="G50">
        <f t="shared" si="17"/>
        <v>-0.7874651039661148</v>
      </c>
      <c r="H50" s="4"/>
      <c r="L50">
        <v>1</v>
      </c>
      <c r="M50">
        <v>1</v>
      </c>
      <c r="N50">
        <f>((M4)^2-(L4)^2)/(2*($S$4-$Q$4))</f>
        <v>0.19712500000000002</v>
      </c>
      <c r="O50">
        <f>M50*(9.82-N50)</f>
        <v>9.6228750000000005</v>
      </c>
      <c r="P50">
        <f>1/7*(SUM(N50:N56))</f>
        <v>0.47032142857142861</v>
      </c>
      <c r="Q50">
        <f>1/7*(SUM(O50:O56))</f>
        <v>36.87978571428571</v>
      </c>
      <c r="R50" cm="1">
        <f t="array" ref="R50">(SUM((N50:N56-$P$50)*(O50:O56-$Q$50)))/(SUM((N50:N56-$P$50)^2))</f>
        <v>61.498802238095863</v>
      </c>
      <c r="S50">
        <f>O50-(P53+R50*N50)</f>
        <v>-10.455657581417341</v>
      </c>
      <c r="T50" cm="1">
        <f t="array" ref="T50">SUMSQ((N50:N56-$P$50))</f>
        <v>0.51469133928571464</v>
      </c>
      <c r="U50" t="e">
        <f>(1/7+($P$50^2/T50))*(SUMSQ(S50:S56))/5</f>
        <v>#VALUE!</v>
      </c>
    </row>
    <row r="51" spans="4:22" x14ac:dyDescent="0.35">
      <c r="L51">
        <v>2</v>
      </c>
      <c r="M51">
        <v>2</v>
      </c>
      <c r="N51">
        <f>((M5)^2-(L5)^2)/(2*($S$4-$Q$4))</f>
        <v>0.2</v>
      </c>
      <c r="O51">
        <f t="shared" ref="O51:O56" si="18">M51*(9.82-N51)</f>
        <v>19.240000000000002</v>
      </c>
      <c r="S51">
        <f t="shared" ref="S51:S56" si="19">O51-(P54+R51*N51)</f>
        <v>19.240000000000002</v>
      </c>
    </row>
    <row r="52" spans="4:22" x14ac:dyDescent="0.35">
      <c r="D52" t="s">
        <v>33</v>
      </c>
      <c r="E52" t="s">
        <v>44</v>
      </c>
      <c r="F52" t="s">
        <v>35</v>
      </c>
      <c r="G52" t="s">
        <v>45</v>
      </c>
      <c r="L52">
        <v>3</v>
      </c>
      <c r="M52">
        <v>3</v>
      </c>
      <c r="N52">
        <f>((M6)^2-(L6)^2)/(2*($S$4-$Q$4))</f>
        <v>0.18037500000000006</v>
      </c>
      <c r="O52">
        <f t="shared" si="18"/>
        <v>28.918875</v>
      </c>
      <c r="P52" t="s">
        <v>57</v>
      </c>
      <c r="S52">
        <f t="shared" si="19"/>
        <v>28.918875</v>
      </c>
    </row>
    <row r="53" spans="4:22" x14ac:dyDescent="0.35">
      <c r="D53">
        <f>SUM(F46:F50)/5</f>
        <v>-0.19361239333754157</v>
      </c>
      <c r="E53">
        <f>SUM(G46:G50)/5</f>
        <v>-0.78037912278758093</v>
      </c>
      <c r="F53" cm="1">
        <f t="array" ref="F53">2.8*((SUM((F46:F50-$D$53)^2))/(5*4))^0.5</f>
        <v>2.4811191126473668E-2</v>
      </c>
      <c r="G53" cm="1">
        <f t="array" ref="G53">2.8*((SUM((G46:G50-$E$53)^2))/(5*4))^0.5</f>
        <v>1.3650230771336281E-2</v>
      </c>
      <c r="L53">
        <v>4</v>
      </c>
      <c r="M53">
        <v>4</v>
      </c>
      <c r="N53">
        <f>((M7)^2-(L7)^2)/(2*($S$4-$Q$4))</f>
        <v>0.43437499999999996</v>
      </c>
      <c r="O53">
        <f t="shared" si="18"/>
        <v>37.542500000000004</v>
      </c>
      <c r="P53">
        <f>Q50-R50*P50</f>
        <v>7.9555811902326923</v>
      </c>
      <c r="S53">
        <f t="shared" si="19"/>
        <v>37.542500000000004</v>
      </c>
    </row>
    <row r="54" spans="4:22" x14ac:dyDescent="0.35">
      <c r="L54">
        <v>5</v>
      </c>
      <c r="M54">
        <v>5</v>
      </c>
      <c r="N54">
        <f>((M8)^2-(L8)^2)/(2*($S$4-$Q$4))</f>
        <v>0.64</v>
      </c>
      <c r="O54">
        <f t="shared" si="18"/>
        <v>45.9</v>
      </c>
      <c r="S54">
        <f t="shared" si="19"/>
        <v>45.9</v>
      </c>
    </row>
    <row r="55" spans="4:22" x14ac:dyDescent="0.35">
      <c r="L55">
        <v>6</v>
      </c>
      <c r="M55">
        <v>6</v>
      </c>
      <c r="N55">
        <f>((M9)^2-(L9)^2)/(2*($S$4-$Q$4))</f>
        <v>0.7568750000000003</v>
      </c>
      <c r="O55">
        <f t="shared" si="18"/>
        <v>54.378749999999997</v>
      </c>
      <c r="S55">
        <f t="shared" si="19"/>
        <v>54.378749999999997</v>
      </c>
    </row>
    <row r="56" spans="4:22" x14ac:dyDescent="0.35">
      <c r="L56">
        <v>7</v>
      </c>
      <c r="M56">
        <v>7</v>
      </c>
      <c r="N56">
        <f>((M10)^2-(L10)^2)/(2*($S$4-$Q$4))</f>
        <v>0.88350000000000029</v>
      </c>
      <c r="O56">
        <f t="shared" si="18"/>
        <v>62.555500000000002</v>
      </c>
      <c r="S56" t="e">
        <f t="shared" si="19"/>
        <v>#VALUE!</v>
      </c>
    </row>
    <row r="58" spans="4:22" x14ac:dyDescent="0.35">
      <c r="M58" s="5" t="s">
        <v>51</v>
      </c>
    </row>
    <row r="59" spans="4:22" x14ac:dyDescent="0.35">
      <c r="L59" t="s">
        <v>26</v>
      </c>
      <c r="M59" t="s">
        <v>47</v>
      </c>
      <c r="N59" t="s">
        <v>48</v>
      </c>
      <c r="O59" t="s">
        <v>49</v>
      </c>
      <c r="P59" t="s">
        <v>54</v>
      </c>
      <c r="Q59" t="s">
        <v>55</v>
      </c>
      <c r="R59" t="s">
        <v>56</v>
      </c>
      <c r="S59" t="s">
        <v>58</v>
      </c>
    </row>
    <row r="60" spans="4:22" x14ac:dyDescent="0.35">
      <c r="L60">
        <v>1</v>
      </c>
      <c r="M60">
        <v>1</v>
      </c>
      <c r="N60">
        <f>((M14)^2-(L14)^2)/(2*($S$4-$Q$4))</f>
        <v>0.10150000000000001</v>
      </c>
      <c r="O60">
        <f>M60*(9.82-N60)</f>
        <v>9.7185000000000006</v>
      </c>
      <c r="P60">
        <f>1/7*(SUM(N60:N66))</f>
        <v>0.25901785714285719</v>
      </c>
      <c r="Q60">
        <f>1/7*(SUM(O60:O66))</f>
        <v>37.983803571428574</v>
      </c>
      <c r="R60" cm="1">
        <f t="array" ref="R60">(SUM((N60:N66-$P$60)*(O60:O66-$Q$60)))/(SUM((N60:N66-$P$60)^2))</f>
        <v>130.1004746037882</v>
      </c>
      <c r="S60">
        <f>O60-(P63+R60*N60)</f>
        <v>-7.7721555985711444</v>
      </c>
    </row>
    <row r="61" spans="4:22" x14ac:dyDescent="0.35">
      <c r="L61">
        <v>2</v>
      </c>
      <c r="M61">
        <v>2</v>
      </c>
      <c r="N61">
        <f>((M15)^2-(L15)^2)/(2*($S$4-$Q$4))</f>
        <v>0.14800000000000005</v>
      </c>
      <c r="O61">
        <f t="shared" ref="O61:O66" si="20">M61*(9.82-N61)</f>
        <v>19.344000000000001</v>
      </c>
      <c r="S61">
        <f t="shared" ref="S61:S66" si="21">O61-(P64+R61*N61)</f>
        <v>19.344000000000001</v>
      </c>
    </row>
    <row r="62" spans="4:22" x14ac:dyDescent="0.35">
      <c r="L62">
        <v>3</v>
      </c>
      <c r="M62">
        <v>3</v>
      </c>
      <c r="N62">
        <f>((M16)^2-(L16)^2)/(2*($S$4-$Q$4))</f>
        <v>0.16362499999999999</v>
      </c>
      <c r="O62">
        <f t="shared" si="20"/>
        <v>28.969125000000002</v>
      </c>
      <c r="P62" t="s">
        <v>57</v>
      </c>
      <c r="S62">
        <f t="shared" si="21"/>
        <v>28.969125000000002</v>
      </c>
    </row>
    <row r="63" spans="4:22" x14ac:dyDescent="0.35">
      <c r="L63">
        <v>4</v>
      </c>
      <c r="M63">
        <v>4</v>
      </c>
      <c r="N63">
        <f>((M17)^2-(L17)^2)/(2*($S$4-$Q$4))</f>
        <v>0.22500000000000009</v>
      </c>
      <c r="O63">
        <f t="shared" si="20"/>
        <v>38.380000000000003</v>
      </c>
      <c r="P63">
        <f>Q60-R60*P60</f>
        <v>4.2854574262866407</v>
      </c>
      <c r="S63">
        <f t="shared" si="21"/>
        <v>38.380000000000003</v>
      </c>
    </row>
    <row r="64" spans="4:22" x14ac:dyDescent="0.35">
      <c r="L64">
        <v>5</v>
      </c>
      <c r="M64">
        <v>5</v>
      </c>
      <c r="N64">
        <f>((M18)^2-(L18)^2)/(2*($S$4-$Q$4))</f>
        <v>0.26000000000000006</v>
      </c>
      <c r="O64">
        <f t="shared" si="20"/>
        <v>47.800000000000004</v>
      </c>
      <c r="S64">
        <f t="shared" si="21"/>
        <v>47.800000000000004</v>
      </c>
    </row>
    <row r="65" spans="12:19" x14ac:dyDescent="0.35">
      <c r="L65">
        <v>6</v>
      </c>
      <c r="M65">
        <v>6</v>
      </c>
      <c r="N65">
        <f>((M19)^2-(L19)^2)/(2*($S$4-$Q$4))</f>
        <v>0.42</v>
      </c>
      <c r="O65">
        <f t="shared" si="20"/>
        <v>56.400000000000006</v>
      </c>
      <c r="S65">
        <f t="shared" si="21"/>
        <v>56.400000000000006</v>
      </c>
    </row>
    <row r="66" spans="12:19" x14ac:dyDescent="0.35">
      <c r="L66">
        <v>7</v>
      </c>
      <c r="M66">
        <v>7</v>
      </c>
      <c r="N66">
        <f>((M20)^2-(L20)^2)/(2*($S$4-$Q$4))</f>
        <v>0.49500000000000022</v>
      </c>
      <c r="O66">
        <f t="shared" si="20"/>
        <v>65.274999999999991</v>
      </c>
      <c r="S66">
        <f t="shared" si="21"/>
        <v>65.274999999999991</v>
      </c>
    </row>
  </sheetData>
  <mergeCells count="17">
    <mergeCell ref="H46:H50"/>
    <mergeCell ref="C1:H1"/>
    <mergeCell ref="C9:H9"/>
    <mergeCell ref="D11:D15"/>
    <mergeCell ref="E11:E15"/>
    <mergeCell ref="H35:H39"/>
    <mergeCell ref="D26:D30"/>
    <mergeCell ref="E26:E30"/>
    <mergeCell ref="C24:H24"/>
    <mergeCell ref="D3:D7"/>
    <mergeCell ref="E3:E7"/>
    <mergeCell ref="J2:N2"/>
    <mergeCell ref="J12:N12"/>
    <mergeCell ref="P3:S3"/>
    <mergeCell ref="C17:H17"/>
    <mergeCell ref="D19:D23"/>
    <mergeCell ref="E19:E2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Артём Шульга</dc:creator>
  <cp:lastModifiedBy>ExcaliBBur Velichaishiy</cp:lastModifiedBy>
  <dcterms:created xsi:type="dcterms:W3CDTF">2015-06-05T18:19:34Z</dcterms:created>
  <dcterms:modified xsi:type="dcterms:W3CDTF">2022-04-13T11:52:23Z</dcterms:modified>
</cp:coreProperties>
</file>